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ckblatt" sheetId="1" state="visible" r:id="rId1"/>
    <sheet xmlns:r="http://schemas.openxmlformats.org/officeDocument/2006/relationships" name="Grundeinstellungen" sheetId="2" state="visible" r:id="rId2"/>
    <sheet xmlns:r="http://schemas.openxmlformats.org/officeDocument/2006/relationships" name="Auslegung" sheetId="3" state="visible" r:id="rId3"/>
    <sheet xmlns:r="http://schemas.openxmlformats.org/officeDocument/2006/relationships" name="Kontrolle" sheetId="4" state="visible" r:id="rId4"/>
    <sheet xmlns:r="http://schemas.openxmlformats.org/officeDocument/2006/relationships" name="HKV" sheetId="5" state="visible" r:id="rId5"/>
    <sheet xmlns:r="http://schemas.openxmlformats.org/officeDocument/2006/relationships" name="Verifikation" sheetId="6" state="visible" r:id="rId6"/>
    <sheet xmlns:r="http://schemas.openxmlformats.org/officeDocument/2006/relationships" name="Anleitung" sheetId="7" state="visible" r:id="rId7"/>
    <sheet xmlns:r="http://schemas.openxmlformats.org/officeDocument/2006/relationships" name="Methodik" sheetId="8" state="visible" r:id="rId8"/>
    <sheet xmlns:r="http://schemas.openxmlformats.org/officeDocument/2006/relationships" name="Konstanten" sheetId="9" state="visible" r:id="rId9"/>
    <sheet xmlns:r="http://schemas.openxmlformats.org/officeDocument/2006/relationships" name="Changelog" sheetId="10" state="visible" r:id="rId10"/>
  </sheets>
  <definedNames>
    <definedName name="_xlnm.Print_Area" localSheetId="0">'Deckblatt'!$A$1:$K$23</definedName>
    <definedName name="_xlnm.Print_Area" localSheetId="1">'Grundeinstellungen'!$A$1:$M$25</definedName>
    <definedName name="_xlnm._FilterDatabase" localSheetId="2" hidden="1">'Auslegung'!$A$6:$AK$206</definedName>
    <definedName name="_xlnm.Print_Titles" localSheetId="2">'Auslegung'!$1:$6</definedName>
    <definedName name="_xlnm.Print_Area" localSheetId="2">'Auslegung'!$A$1:$AK$206</definedName>
    <definedName name="_xlnm.Print_Area" localSheetId="3">'Kontrolle'!$A$1:$D$25</definedName>
    <definedName name="_xlnm.Print_Area" localSheetId="4">'HKV'!$A$1:$H$56</definedName>
    <definedName name="_xlnm.Print_Area" localSheetId="5">'Verifikation'!$A$1:$L$31</definedName>
    <definedName name="_xlnm.Print_Area" localSheetId="6">'Anleitung'!$A$1:$D$32</definedName>
    <definedName name="_xlnm.Print_Area" localSheetId="7">'Methodik'!$A$1:$F$26</definedName>
    <definedName name="_xlnm.Print_Area" localSheetId="8">'Konstanten'!$A$1:$L$28</definedName>
    <definedName name="_xlnm.Print_Area" localSheetId="9">'Changelog'!$A$1:$C$21</definedName>
  </definedNames>
  <calcPr calcId="124519" fullCalcOnLoad="1"/>
</workbook>
</file>

<file path=xl/styles.xml><?xml version="1.0" encoding="utf-8"?>
<styleSheet xmlns="http://schemas.openxmlformats.org/spreadsheetml/2006/main">
  <numFmts count="31">
    <numFmt numFmtId="164" formatCode="0.0&quot; °C&quot;"/>
    <numFmt numFmtId="165" formatCode="0.0&quot; K&quot;"/>
    <numFmt numFmtId="166" formatCode="0&quot; m&quot;"/>
    <numFmt numFmtId="167" formatCode="#,##0&quot; Pa&quot;"/>
    <numFmt numFmtId="168" formatCode="0.0"/>
    <numFmt numFmtId="169" formatCode="0.00&quot; m/s&quot;"/>
    <numFmt numFmtId="170" formatCode="0&quot; l/h&quot;"/>
    <numFmt numFmtId="171" formatCode="0.000"/>
    <numFmt numFmtId="172" formatCode="0.0&quot; W/m²&quot;"/>
    <numFmt numFmtId="173" formatCode="0.0&quot; mm&quot;"/>
    <numFmt numFmtId="174" formatCode="0.000&quot; mm&quot;"/>
    <numFmt numFmtId="175" formatCode="0.0000&quot; m&quot;"/>
    <numFmt numFmtId="176" formatCode="0.000000&quot; m²&quot;"/>
    <numFmt numFmtId="177" formatCode="0.0&quot; m²&quot;"/>
    <numFmt numFmtId="178" formatCode="#,##0&quot; W&quot;"/>
    <numFmt numFmtId="179" formatCode="0&quot; mm&quot;"/>
    <numFmt numFmtId="180" formatCode="0&quot; HK&quot;"/>
    <numFmt numFmtId="181" formatCode="0.0&quot; m&quot;"/>
    <numFmt numFmtId="182" formatCode="0.00&quot; K&quot;"/>
    <numFmt numFmtId="183" formatCode="&quot;+&quot;#,##0&quot; W&quot;;&quot;-&quot;#,##0&quot; W&quot;;0&quot; W&quot;"/>
    <numFmt numFmtId="184" formatCode="0.0%"/>
    <numFmt numFmtId="185" formatCode="0.0&quot; kg/h&quot;"/>
    <numFmt numFmtId="186" formatCode="0.0&quot; l/h&quot;"/>
    <numFmt numFmtId="187" formatCode="0.000&quot; m/s&quot;"/>
    <numFmt numFmtId="188" formatCode="0.0000"/>
    <numFmt numFmtId="189" formatCode="#,##0&quot; Pa/m&quot;"/>
    <numFmt numFmtId="190" formatCode="#,##0&quot; kg/h&quot;"/>
    <numFmt numFmtId="191" formatCode="#,##0&quot; l/h&quot;"/>
    <numFmt numFmtId="192" formatCode="&quot;+&quot;0.0&quot; W/m²&quot;;&quot;-&quot;0.0&quot; W/m²&quot;;0&quot; W/m²&quot;"/>
    <numFmt numFmtId="193" formatCode="&quot;+&quot;0.0%;&quot;-&quot;0.0%;0.0%"/>
    <numFmt numFmtId="194" formatCode="0&quot; °C&quot;"/>
  </numFmts>
  <fonts count="19">
    <font>
      <name val="Calibri"/>
      <family val="2"/>
      <color theme="1"/>
      <sz val="11"/>
      <scheme val="minor"/>
    </font>
    <font>
      <name val="Arial"/>
      <b val="1"/>
      <color rgb="00000000"/>
      <sz val="15"/>
    </font>
    <font>
      <name val="Arial"/>
      <b val="1"/>
      <color rgb="00000000"/>
      <sz val="10"/>
    </font>
    <font>
      <name val="Arial"/>
      <i val="1"/>
      <color rgb="00808080"/>
      <sz val="9"/>
    </font>
    <font>
      <name val="Arial"/>
      <color rgb="00000000"/>
      <sz val="10"/>
    </font>
    <font>
      <name val="Arial"/>
      <color rgb="00808080"/>
      <sz val="10"/>
    </font>
    <font>
      <name val="Arial"/>
      <b val="1"/>
      <color rgb="00000000"/>
      <sz val="13"/>
    </font>
    <font>
      <name val="Arial"/>
      <color rgb="00000000"/>
      <sz val="9"/>
    </font>
    <font>
      <name val="Arial"/>
      <b val="1"/>
      <color rgb="00000000"/>
      <sz val="16"/>
    </font>
    <font>
      <name val="Arial"/>
      <color rgb="00000000"/>
      <sz val="11"/>
    </font>
    <font>
      <name val="Arial"/>
      <i val="1"/>
      <color rgb="00000000"/>
      <sz val="9"/>
    </font>
    <font>
      <name val="Arial"/>
      <b val="1"/>
      <color rgb="00000000"/>
      <sz val="11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000000"/>
      <sz val="18"/>
    </font>
    <font>
      <name val="Arial"/>
      <color rgb="00808080"/>
      <sz val="12"/>
    </font>
    <font>
      <name val="Arial"/>
      <b val="1"/>
      <color rgb="00000000"/>
      <sz val="10.5"/>
    </font>
    <font>
      <name val="Arial"/>
      <b val="1"/>
      <color rgb="00777777"/>
      <sz val="22"/>
    </font>
    <font>
      <name val="Arial"/>
      <b val="1"/>
      <color rgb="00000000"/>
      <sz val="12"/>
    </font>
  </fonts>
  <fills count="6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D2D2D2"/>
      </patternFill>
    </fill>
    <fill>
      <patternFill patternType="solid">
        <fgColor rgb="00E6E6E6"/>
      </patternFill>
    </fill>
    <fill>
      <patternFill patternType="solid">
        <fgColor rgb="00F7F7F7"/>
      </patternFill>
    </fill>
  </fills>
  <borders count="11">
    <border>
      <left/>
      <right/>
      <top/>
      <bottom/>
      <diagonal/>
    </border>
    <border>
      <left style="thin">
        <color rgb="00C9C9C9"/>
      </left>
      <right style="thin">
        <color rgb="00C9C9C9"/>
      </right>
      <top style="thin">
        <color rgb="00C9C9C9"/>
      </top>
      <bottom style="thin">
        <color rgb="00C9C9C9"/>
      </bottom>
    </border>
    <border>
      <left/>
      <right/>
      <top style="thin">
        <color rgb="00C9C9C9"/>
      </top>
      <bottom/>
      <diagonal/>
    </border>
    <border>
      <left/>
      <right style="thin">
        <color rgb="00C9C9C9"/>
      </right>
      <top style="thin">
        <color rgb="00C9C9C9"/>
      </top>
      <bottom/>
      <diagonal/>
    </border>
    <border>
      <left/>
      <right/>
      <top style="thin">
        <color rgb="00C9C9C9"/>
      </top>
      <bottom style="thin">
        <color rgb="00C9C9C9"/>
      </bottom>
      <diagonal/>
    </border>
    <border>
      <left/>
      <right style="thin">
        <color rgb="00C9C9C9"/>
      </right>
      <top style="thin">
        <color rgb="00C9C9C9"/>
      </top>
      <bottom style="thin">
        <color rgb="00C9C9C9"/>
      </bottom>
      <diagonal/>
    </border>
    <border>
      <left style="thin">
        <color rgb="00C9C9C9"/>
      </left>
      <right style="thin">
        <color rgb="00C9C9C9"/>
      </right>
      <top style="thin">
        <color rgb="00C9C9C9"/>
      </top>
      <bottom style="medium">
        <color rgb="00000000"/>
      </bottom>
    </border>
    <border>
      <top style="thin">
        <color rgb="00000000"/>
      </top>
    </border>
    <border>
      <left style="thin">
        <color rgb="00C9C9C9"/>
      </left>
      <right/>
      <top/>
      <bottom/>
      <diagonal/>
    </border>
    <border>
      <left style="thin">
        <color rgb="00C9C9C9"/>
      </left>
      <right style="thin">
        <color rgb="00C9C9C9"/>
      </right>
      <top/>
      <bottom/>
      <diagonal/>
    </border>
    <border>
      <left style="thin">
        <color rgb="00C9C9C9"/>
      </left>
      <right style="thin">
        <color rgb="00C9C9C9"/>
      </right>
      <top/>
      <bottom style="thin">
        <color rgb="00C9C9C9"/>
      </bottom>
      <diagonal/>
    </border>
  </borders>
  <cellStyleXfs count="1">
    <xf numFmtId="0" fontId="0" fillId="0" borderId="0"/>
  </cellStyleXfs>
  <cellXfs count="116">
    <xf numFmtId="0" fontId="0" fillId="0" borderId="0" pivotButton="0" quotePrefix="0" xfId="0"/>
    <xf numFmtId="0" fontId="14" fillId="0" borderId="0" applyAlignment="1" applyProtection="1" pivotButton="0" quotePrefix="0" xfId="0">
      <alignment vertical="center"/>
      <protection locked="0" hidden="0"/>
    </xf>
    <xf numFmtId="0" fontId="0" fillId="0" borderId="0" applyProtection="1" pivotButton="0" quotePrefix="0" xfId="0">
      <protection locked="0" hidden="0"/>
    </xf>
    <xf numFmtId="0" fontId="15" fillId="0" borderId="0" applyProtection="1" pivotButton="0" quotePrefix="0" xfId="0">
      <protection locked="0" hidden="0"/>
    </xf>
    <xf numFmtId="0" fontId="11" fillId="0" borderId="0" pivotButton="0" quotePrefix="0" xfId="0"/>
    <xf numFmtId="0" fontId="6" fillId="3" borderId="1" applyAlignment="1" applyProtection="1" pivotButton="0" quotePrefix="0" xfId="0">
      <alignment horizontal="center" vertical="center" wrapText="1"/>
      <protection locked="0" hidden="0"/>
    </xf>
    <xf numFmtId="0" fontId="0" fillId="3" borderId="1" pivotButton="0" quotePrefix="0" xfId="0"/>
    <xf numFmtId="0" fontId="16" fillId="4" borderId="1" applyAlignment="1" applyProtection="1" pivotButton="0" quotePrefix="0" xfId="0">
      <alignment horizontal="left" vertical="center" wrapText="1"/>
      <protection locked="0" hidden="0"/>
    </xf>
    <xf numFmtId="0" fontId="0" fillId="4" borderId="1" pivotButton="0" quotePrefix="0" xfId="0"/>
    <xf numFmtId="0" fontId="17" fillId="0" borderId="0" applyAlignment="1" applyProtection="1" pivotButton="0" quotePrefix="0" xfId="0">
      <alignment horizontal="center" vertical="center" wrapText="1"/>
      <protection locked="0" hidden="0"/>
    </xf>
    <xf numFmtId="0" fontId="4" fillId="5" borderId="1" applyAlignment="1" applyProtection="1" pivotButton="0" quotePrefix="0" xfId="0">
      <alignment horizontal="left" vertical="center" wrapText="1"/>
      <protection locked="0" hidden="0"/>
    </xf>
    <xf numFmtId="0" fontId="0" fillId="5" borderId="1" pivotButton="0" quotePrefix="0" xfId="0"/>
    <xf numFmtId="0" fontId="16" fillId="0" borderId="1" applyAlignment="1" applyProtection="1" pivotButton="0" quotePrefix="0" xfId="0">
      <alignment horizontal="left" vertical="center" wrapText="1"/>
      <protection locked="0" hidden="0"/>
    </xf>
    <xf numFmtId="0" fontId="0" fillId="0" borderId="1" pivotButton="0" quotePrefix="0" xfId="0"/>
    <xf numFmtId="0" fontId="0" fillId="5" borderId="1" applyAlignment="1" applyProtection="1" pivotButton="0" quotePrefix="0" xfId="0">
      <alignment horizontal="left" vertical="center" wrapText="1"/>
      <protection locked="0" hidden="0"/>
    </xf>
    <xf numFmtId="0" fontId="3" fillId="0" borderId="0" applyAlignment="1" applyProtection="1" pivotButton="0" quotePrefix="0" xfId="0">
      <alignment horizontal="left" vertical="center" wrapText="1"/>
      <protection locked="0" hidden="0"/>
    </xf>
    <xf numFmtId="0" fontId="1" fillId="0" borderId="0" applyAlignment="1" applyProtection="1" pivotButton="0" quotePrefix="0" xfId="0">
      <alignment horizontal="left" vertical="center"/>
      <protection locked="0" hidden="0"/>
    </xf>
    <xf numFmtId="0" fontId="2" fillId="0" borderId="0" applyProtection="1" pivotButton="0" quotePrefix="0" xfId="0">
      <protection locked="0" hidden="0"/>
    </xf>
    <xf numFmtId="0" fontId="2" fillId="2" borderId="1" applyAlignment="1" applyProtection="1" pivotButton="0" quotePrefix="0" xfId="0">
      <alignment horizontal="left"/>
      <protection locked="0" hidden="0"/>
    </xf>
    <xf numFmtId="0" fontId="0" fillId="0" borderId="4" pivotButton="0" quotePrefix="0" xfId="0"/>
    <xf numFmtId="0" fontId="0" fillId="0" borderId="5" pivotButton="0" quotePrefix="0" xfId="0"/>
    <xf numFmtId="0" fontId="3" fillId="0" borderId="0" applyAlignment="1" applyProtection="1" pivotButton="0" quotePrefix="0" xfId="0">
      <alignment horizontal="right"/>
      <protection locked="0" hidden="0"/>
    </xf>
    <xf numFmtId="0" fontId="2" fillId="2" borderId="1" applyAlignment="1" applyProtection="1" pivotButton="0" quotePrefix="0" xfId="0">
      <alignment horizontal="center"/>
      <protection locked="0" hidden="0"/>
    </xf>
    <xf numFmtId="0" fontId="2" fillId="3" borderId="0" applyProtection="1" pivotButton="0" quotePrefix="0" xfId="0">
      <protection locked="0" hidden="0"/>
    </xf>
    <xf numFmtId="0" fontId="0" fillId="3" borderId="0" applyProtection="1" pivotButton="0" quotePrefix="0" xfId="0">
      <protection locked="0" hidden="0"/>
    </xf>
    <xf numFmtId="0" fontId="4" fillId="0" borderId="0" applyProtection="1" pivotButton="0" quotePrefix="0" xfId="0">
      <protection locked="0" hidden="0"/>
    </xf>
    <xf numFmtId="164" fontId="2" fillId="2" borderId="1" applyAlignment="1" applyProtection="1" pivotButton="0" quotePrefix="0" xfId="0">
      <alignment horizontal="center"/>
      <protection locked="0" hidden="0"/>
    </xf>
    <xf numFmtId="0" fontId="5" fillId="0" borderId="0" applyProtection="1" pivotButton="0" quotePrefix="0" xfId="0">
      <protection locked="0" hidden="0"/>
    </xf>
    <xf numFmtId="0" fontId="3" fillId="0" borderId="0" applyProtection="1" pivotButton="0" quotePrefix="0" xfId="0">
      <protection locked="0" hidden="0"/>
    </xf>
    <xf numFmtId="168" fontId="2" fillId="2" borderId="1" applyAlignment="1" applyProtection="1" pivotButton="0" quotePrefix="0" xfId="0">
      <alignment horizontal="center"/>
      <protection locked="0" hidden="0"/>
    </xf>
    <xf numFmtId="171" fontId="2" fillId="2" borderId="1" applyAlignment="1" applyProtection="1" pivotButton="0" quotePrefix="0" xfId="0">
      <alignment horizontal="center"/>
      <protection locked="0" hidden="0"/>
    </xf>
    <xf numFmtId="165" fontId="2" fillId="0" borderId="1" applyAlignment="1" pivotButton="0" quotePrefix="0" xfId="0">
      <alignment horizontal="center"/>
    </xf>
    <xf numFmtId="2" fontId="2" fillId="2" borderId="1" applyAlignment="1" applyProtection="1" pivotButton="0" quotePrefix="0" xfId="0">
      <alignment horizontal="center"/>
      <protection locked="0" hidden="0"/>
    </xf>
    <xf numFmtId="166" fontId="2" fillId="2" borderId="1" applyAlignment="1" applyProtection="1" pivotButton="0" quotePrefix="0" xfId="0">
      <alignment horizontal="center"/>
      <protection locked="0" hidden="0"/>
    </xf>
    <xf numFmtId="167" fontId="2" fillId="2" borderId="1" applyAlignment="1" applyProtection="1" pivotButton="0" quotePrefix="0" xfId="0">
      <alignment horizontal="center"/>
      <protection locked="0" hidden="0"/>
    </xf>
    <xf numFmtId="172" fontId="2" fillId="0" borderId="1" applyAlignment="1" pivotButton="0" quotePrefix="0" xfId="0">
      <alignment horizontal="center"/>
    </xf>
    <xf numFmtId="3" fontId="2" fillId="2" borderId="1" applyAlignment="1" applyProtection="1" pivotButton="0" quotePrefix="0" xfId="0">
      <alignment horizontal="center"/>
      <protection locked="0" hidden="0"/>
    </xf>
    <xf numFmtId="11" fontId="2" fillId="2" borderId="1" applyAlignment="1" applyProtection="1" pivotButton="0" quotePrefix="0" xfId="0">
      <alignment horizontal="center"/>
      <protection locked="0" hidden="0"/>
    </xf>
    <xf numFmtId="173" fontId="2" fillId="0" borderId="1" applyAlignment="1" pivotButton="0" quotePrefix="0" xfId="0">
      <alignment horizontal="center"/>
    </xf>
    <xf numFmtId="169" fontId="2" fillId="2" borderId="1" applyAlignment="1" applyProtection="1" pivotButton="0" quotePrefix="0" xfId="0">
      <alignment horizontal="center"/>
      <protection locked="0" hidden="0"/>
    </xf>
    <xf numFmtId="174" fontId="2" fillId="0" borderId="1" applyAlignment="1" pivotButton="0" quotePrefix="0" xfId="0">
      <alignment horizontal="center"/>
    </xf>
    <xf numFmtId="175" fontId="2" fillId="0" borderId="1" applyAlignment="1" pivotButton="0" quotePrefix="0" xfId="0">
      <alignment horizontal="center"/>
    </xf>
    <xf numFmtId="170" fontId="2" fillId="2" borderId="1" applyAlignment="1" applyProtection="1" pivotButton="0" quotePrefix="0" xfId="0">
      <alignment horizontal="center"/>
      <protection locked="0" hidden="0"/>
    </xf>
    <xf numFmtId="176" fontId="2" fillId="0" borderId="1" applyAlignment="1" pivotButton="0" quotePrefix="0" xfId="0">
      <alignment horizontal="center"/>
    </xf>
    <xf numFmtId="9" fontId="2" fillId="2" borderId="1" applyAlignment="1" applyProtection="1" pivotButton="0" quotePrefix="0" xfId="0">
      <alignment horizontal="center"/>
      <protection locked="0" hidden="0"/>
    </xf>
    <xf numFmtId="0" fontId="8" fillId="0" borderId="0" applyAlignment="1" applyProtection="1" pivotButton="0" quotePrefix="0" xfId="0">
      <alignment horizontal="left" vertical="center"/>
      <protection locked="0" hidden="0"/>
    </xf>
    <xf numFmtId="0" fontId="9" fillId="0" borderId="0" applyAlignment="1" pivotButton="0" quotePrefix="0" xfId="0">
      <alignment horizontal="left"/>
    </xf>
    <xf numFmtId="0" fontId="10" fillId="0" borderId="0" applyAlignment="1" pivotButton="0" quotePrefix="0" xfId="0">
      <alignment horizontal="right" vertical="center"/>
    </xf>
    <xf numFmtId="0" fontId="0" fillId="0" borderId="7" applyProtection="1" pivotButton="0" quotePrefix="0" xfId="0">
      <protection locked="0" hidden="0"/>
    </xf>
    <xf numFmtId="0" fontId="2" fillId="3" borderId="1" applyAlignment="1" applyProtection="1" pivotButton="0" quotePrefix="0" xfId="0">
      <alignment horizontal="center" vertical="center" wrapText="1"/>
      <protection locked="0" hidden="0"/>
    </xf>
    <xf numFmtId="0" fontId="7" fillId="3" borderId="6" applyAlignment="1" applyProtection="1" pivotButton="0" quotePrefix="0" xfId="0">
      <alignment horizontal="center" vertical="center" wrapText="1"/>
      <protection locked="0" hidden="0"/>
    </xf>
    <xf numFmtId="0" fontId="4" fillId="2" borderId="1" applyAlignment="1" applyProtection="1" pivotButton="0" quotePrefix="0" xfId="0">
      <alignment horizontal="left"/>
      <protection locked="0" hidden="0"/>
    </xf>
    <xf numFmtId="177" fontId="4" fillId="2" borderId="1" applyAlignment="1" applyProtection="1" pivotButton="0" quotePrefix="0" xfId="0">
      <alignment horizontal="center"/>
      <protection locked="0" hidden="0"/>
    </xf>
    <xf numFmtId="164" fontId="4" fillId="2" borderId="1" applyAlignment="1" applyProtection="1" pivotButton="0" quotePrefix="0" xfId="0">
      <alignment horizontal="center"/>
      <protection locked="0" hidden="0"/>
    </xf>
    <xf numFmtId="178" fontId="4" fillId="2" borderId="1" applyAlignment="1" applyProtection="1" pivotButton="0" quotePrefix="0" xfId="0">
      <alignment horizontal="center"/>
      <protection locked="0" hidden="0"/>
    </xf>
    <xf numFmtId="172" fontId="4" fillId="2" borderId="1" applyAlignment="1" pivotButton="0" quotePrefix="0" xfId="0">
      <alignment horizontal="center"/>
    </xf>
    <xf numFmtId="171" fontId="4" fillId="2" borderId="1" applyAlignment="1" applyProtection="1" pivotButton="0" quotePrefix="0" xfId="0">
      <alignment horizontal="center"/>
      <protection locked="0" hidden="0"/>
    </xf>
    <xf numFmtId="179" fontId="4" fillId="2" borderId="1" applyAlignment="1" applyProtection="1" pivotButton="0" quotePrefix="0" xfId="0">
      <alignment horizontal="center"/>
      <protection locked="0" hidden="0"/>
    </xf>
    <xf numFmtId="180" fontId="4" fillId="2" borderId="1" applyAlignment="1" applyProtection="1" pivotButton="0" quotePrefix="0" xfId="0">
      <alignment horizontal="center"/>
      <protection locked="0" hidden="0"/>
    </xf>
    <xf numFmtId="181" fontId="4" fillId="2" borderId="1" applyAlignment="1" applyProtection="1" pivotButton="0" quotePrefix="0" xfId="0">
      <alignment horizontal="center"/>
      <protection locked="0" hidden="0"/>
    </xf>
    <xf numFmtId="0" fontId="4" fillId="2" borderId="1" applyAlignment="1" applyProtection="1" pivotButton="0" quotePrefix="0" xfId="0">
      <alignment horizontal="center"/>
      <protection locked="0" hidden="0"/>
    </xf>
    <xf numFmtId="182" fontId="4" fillId="0" borderId="1" applyAlignment="1" pivotButton="0" quotePrefix="0" xfId="0">
      <alignment horizontal="center"/>
    </xf>
    <xf numFmtId="171" fontId="4" fillId="0" borderId="1" applyAlignment="1" pivotButton="0" quotePrefix="0" xfId="0">
      <alignment horizontal="center"/>
    </xf>
    <xf numFmtId="172" fontId="4" fillId="0" borderId="1" applyAlignment="1" pivotButton="0" quotePrefix="0" xfId="0">
      <alignment horizontal="center"/>
    </xf>
    <xf numFmtId="164" fontId="4" fillId="0" borderId="1" applyAlignment="1" pivotButton="0" quotePrefix="0" xfId="0">
      <alignment horizontal="center"/>
    </xf>
    <xf numFmtId="178" fontId="4" fillId="0" borderId="1" applyAlignment="1" pivotButton="0" quotePrefix="0" xfId="0">
      <alignment horizontal="center"/>
    </xf>
    <xf numFmtId="183" fontId="4" fillId="0" borderId="1" applyAlignment="1" pivotButton="0" quotePrefix="0" xfId="0">
      <alignment horizontal="center"/>
    </xf>
    <xf numFmtId="184" fontId="4" fillId="0" borderId="1" applyAlignment="1" pivotButton="0" quotePrefix="0" xfId="0">
      <alignment horizontal="center"/>
    </xf>
    <xf numFmtId="181" fontId="4" fillId="0" borderId="1" applyAlignment="1" pivotButton="0" quotePrefix="0" xfId="0">
      <alignment horizontal="center"/>
    </xf>
    <xf numFmtId="185" fontId="4" fillId="0" borderId="1" applyAlignment="1" pivotButton="0" quotePrefix="0" xfId="0">
      <alignment horizontal="center"/>
    </xf>
    <xf numFmtId="186" fontId="4" fillId="0" borderId="1" applyAlignment="1" pivotButton="0" quotePrefix="0" xfId="0">
      <alignment horizontal="center"/>
    </xf>
    <xf numFmtId="187" fontId="4" fillId="0" borderId="1" applyAlignment="1" pivotButton="0" quotePrefix="0" xfId="0">
      <alignment horizontal="center"/>
    </xf>
    <xf numFmtId="3" fontId="4" fillId="0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188" fontId="4" fillId="0" borderId="1" applyAlignment="1" pivotButton="0" quotePrefix="0" xfId="0">
      <alignment horizontal="center"/>
    </xf>
    <xf numFmtId="167" fontId="4" fillId="0" borderId="1" applyAlignment="1" pivotButton="0" quotePrefix="0" xfId="0">
      <alignment horizontal="center"/>
    </xf>
    <xf numFmtId="189" fontId="4" fillId="0" borderId="1" applyAlignment="1" pivotButton="0" quotePrefix="0" xfId="0">
      <alignment horizontal="center"/>
    </xf>
    <xf numFmtId="0" fontId="11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right" vertical="center"/>
    </xf>
    <xf numFmtId="1" fontId="2" fillId="0" borderId="1" applyAlignment="1" pivotButton="0" quotePrefix="0" xfId="0">
      <alignment horizontal="center"/>
    </xf>
    <xf numFmtId="3" fontId="2" fillId="0" borderId="1" applyAlignment="1" pivotButton="0" quotePrefix="0" xfId="0">
      <alignment horizontal="center"/>
    </xf>
    <xf numFmtId="184" fontId="2" fillId="0" borderId="1" applyAlignment="1" pivotButton="0" quotePrefix="0" xfId="0">
      <alignment horizontal="center"/>
    </xf>
    <xf numFmtId="171" fontId="2" fillId="0" borderId="1" applyAlignment="1" pivotButton="0" quotePrefix="0" xfId="0">
      <alignment horizontal="center"/>
    </xf>
    <xf numFmtId="0" fontId="4" fillId="0" borderId="1" applyAlignment="1" pivotButton="0" quotePrefix="0" xfId="0">
      <alignment horizontal="left"/>
    </xf>
    <xf numFmtId="1" fontId="4" fillId="0" borderId="1" applyAlignment="1" pivotButton="0" quotePrefix="0" xfId="0">
      <alignment horizontal="center"/>
    </xf>
    <xf numFmtId="165" fontId="4" fillId="0" borderId="1" applyAlignment="1" pivotButton="0" quotePrefix="0" xfId="0">
      <alignment horizontal="center"/>
    </xf>
    <xf numFmtId="190" fontId="4" fillId="0" borderId="1" applyAlignment="1" pivotButton="0" quotePrefix="0" xfId="0">
      <alignment horizontal="center"/>
    </xf>
    <xf numFmtId="191" fontId="4" fillId="0" borderId="1" applyAlignment="1" pivotButton="0" quotePrefix="0" xfId="0">
      <alignment horizontal="center"/>
    </xf>
    <xf numFmtId="0" fontId="4" fillId="0" borderId="1" applyAlignment="1" pivotButton="0" quotePrefix="0" xfId="0">
      <alignment horizontal="left" vertical="center" wrapText="1"/>
    </xf>
    <xf numFmtId="0" fontId="2" fillId="4" borderId="0" applyAlignment="1" applyProtection="1" pivotButton="0" quotePrefix="0" xfId="0">
      <alignment horizontal="left" vertical="center"/>
      <protection locked="0" hidden="0"/>
    </xf>
    <xf numFmtId="0" fontId="0" fillId="4" borderId="0" pivotButton="0" quotePrefix="0" xfId="0"/>
    <xf numFmtId="0" fontId="2" fillId="4" borderId="1" applyAlignment="1" applyProtection="1" pivotButton="0" quotePrefix="0" xfId="0">
      <alignment horizontal="center" vertical="center" wrapText="1"/>
      <protection locked="0" hidden="0"/>
    </xf>
    <xf numFmtId="0" fontId="12" fillId="3" borderId="1" applyAlignment="1" applyProtection="1" pivotButton="0" quotePrefix="0" xfId="0">
      <alignment horizontal="center" vertical="center" wrapText="1"/>
      <protection locked="0" hidden="0"/>
    </xf>
    <xf numFmtId="172" fontId="4" fillId="2" borderId="1" applyAlignment="1" applyProtection="1" pivotButton="0" quotePrefix="0" xfId="0">
      <alignment horizontal="center"/>
      <protection locked="0" hidden="0"/>
    </xf>
    <xf numFmtId="0" fontId="2" fillId="4" borderId="0" applyAlignment="1" applyProtection="1" pivotButton="0" quotePrefix="0" xfId="0">
      <alignment horizontal="right" vertical="center"/>
      <protection locked="0" hidden="0"/>
    </xf>
    <xf numFmtId="192" fontId="2" fillId="4" borderId="1" applyAlignment="1" pivotButton="0" quotePrefix="0" xfId="0">
      <alignment horizontal="center"/>
    </xf>
    <xf numFmtId="193" fontId="2" fillId="0" borderId="1" applyAlignment="1" pivotButton="0" quotePrefix="0" xfId="0">
      <alignment horizontal="center"/>
    </xf>
    <xf numFmtId="0" fontId="11" fillId="0" borderId="0" applyProtection="1" pivotButton="0" quotePrefix="0" xfId="0">
      <protection locked="0" hidden="0"/>
    </xf>
    <xf numFmtId="0" fontId="18" fillId="0" borderId="0" applyAlignment="1" applyProtection="1" pivotButton="0" quotePrefix="0" xfId="0">
      <alignment vertical="top"/>
      <protection locked="0" hidden="0"/>
    </xf>
    <xf numFmtId="0" fontId="13" fillId="0" borderId="0" applyAlignment="1" applyProtection="1" pivotButton="0" quotePrefix="0" xfId="0">
      <alignment vertical="top"/>
      <protection locked="0" hidden="0"/>
    </xf>
    <xf numFmtId="0" fontId="3" fillId="0" borderId="0" applyAlignment="1" applyProtection="1" pivotButton="0" quotePrefix="0" xfId="0">
      <alignment vertical="top"/>
      <protection locked="0" hidden="0"/>
    </xf>
    <xf numFmtId="0" fontId="13" fillId="0" borderId="0" applyAlignment="1" applyProtection="1" pivotButton="0" quotePrefix="0" xfId="0">
      <alignment vertical="top" wrapText="1"/>
      <protection locked="0" hidden="0"/>
    </xf>
    <xf numFmtId="0" fontId="2" fillId="0" borderId="0" applyAlignment="1" applyProtection="1" pivotButton="0" quotePrefix="0" xfId="0">
      <alignment vertical="top" wrapText="1"/>
      <protection locked="0" hidden="0"/>
    </xf>
    <xf numFmtId="0" fontId="3" fillId="0" borderId="0" applyAlignment="1" applyProtection="1" pivotButton="0" quotePrefix="0" xfId="0">
      <alignment vertical="top" wrapText="1"/>
      <protection locked="0" hidden="0"/>
    </xf>
    <xf numFmtId="0" fontId="11" fillId="0" borderId="0" applyAlignment="1" applyProtection="1" pivotButton="0" quotePrefix="0" xfId="0">
      <alignment vertical="top" wrapText="1"/>
      <protection locked="0" hidden="0"/>
    </xf>
    <xf numFmtId="0" fontId="2" fillId="3" borderId="1" applyAlignment="1" applyProtection="1" pivotButton="0" quotePrefix="0" xfId="0">
      <alignment horizontal="center" wrapText="1"/>
      <protection locked="0" hidden="0"/>
    </xf>
    <xf numFmtId="188" fontId="4" fillId="2" borderId="1" applyAlignment="1" applyProtection="1" pivotButton="0" quotePrefix="0" xfId="0">
      <alignment horizontal="center"/>
      <protection locked="0" hidden="0"/>
    </xf>
    <xf numFmtId="194" fontId="4" fillId="2" borderId="1" applyAlignment="1" applyProtection="1" pivotButton="0" quotePrefix="0" xfId="0">
      <alignment horizontal="center"/>
      <protection locked="0" hidden="0"/>
    </xf>
    <xf numFmtId="168" fontId="4" fillId="2" borderId="1" applyAlignment="1" applyProtection="1" pivotButton="0" quotePrefix="0" xfId="0">
      <alignment horizontal="center"/>
      <protection locked="0" hidden="0"/>
    </xf>
    <xf numFmtId="168" fontId="4" fillId="0" borderId="1" applyAlignment="1" pivotButton="0" quotePrefix="0" xfId="0">
      <alignment horizontal="center"/>
    </xf>
    <xf numFmtId="0" fontId="2" fillId="3" borderId="1" applyAlignment="1" applyProtection="1" pivotButton="0" quotePrefix="0" xfId="0">
      <alignment horizontal="left" vertical="center"/>
      <protection locked="0" hidden="0"/>
    </xf>
    <xf numFmtId="0" fontId="2" fillId="0" borderId="1" applyAlignment="1" applyProtection="1" pivotButton="0" quotePrefix="0" xfId="0">
      <alignment vertical="top"/>
      <protection locked="0" hidden="0"/>
    </xf>
    <xf numFmtId="0" fontId="4" fillId="0" borderId="1" applyAlignment="1" applyProtection="1" pivotButton="0" quotePrefix="0" xfId="0">
      <alignment vertical="top"/>
      <protection locked="0" hidden="0"/>
    </xf>
    <xf numFmtId="0" fontId="4" fillId="0" borderId="1" applyAlignment="1" applyProtection="1" pivotButton="0" quotePrefix="0" xfId="0">
      <alignment vertical="top" wrapText="1"/>
      <protection locked="0" hidden="0"/>
    </xf>
    <xf numFmtId="0" fontId="0" fillId="0" borderId="9" pivotButton="0" quotePrefix="0" xfId="0"/>
    <xf numFmtId="0" fontId="0" fillId="0" borderId="10" pivotButton="0" quotePrefix="0" xfId="0"/>
  </cellXfs>
  <cellStyles count="1">
    <cellStyle name="Normal" xfId="0" builtinId="0" hidden="0"/>
  </cellStyles>
  <dxfs count="4">
    <dxf>
      <font>
        <color rgb="00C0392B"/>
      </font>
    </dxf>
    <dxf>
      <font>
        <color rgb="002E7D32"/>
      </font>
    </dxf>
    <dxf>
      <fill>
        <patternFill patternType="solid">
          <fgColor rgb="FFE4E4E4"/>
          <bgColor rgb="FFE4E4E4"/>
        </patternFill>
      </fill>
    </dxf>
    <dxf>
      <fill>
        <patternFill patternType="solid">
          <fgColor rgb="FFF6F6F6"/>
          <bgColor rgb="FFF6F6F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/></Relationships>
</file>

<file path=xl/drawings/_rels/drawing6.xml.rels><Relationships xmlns="http://schemas.openxmlformats.org/package/2006/relationships"><Relationship Type="http://schemas.openxmlformats.org/officeDocument/2006/relationships/image" Target="/xl/media/image6.png" Id="rId1"/></Relationships>
</file>

<file path=xl/drawings/_rels/drawing7.xml.rels><Relationships xmlns="http://schemas.openxmlformats.org/package/2006/relationships"><Relationship Type="http://schemas.openxmlformats.org/officeDocument/2006/relationships/image" Target="/xl/media/image7.png" Id="rId1"/></Relationships>
</file>

<file path=xl/drawings/_rels/drawing8.xml.rels><Relationships xmlns="http://schemas.openxmlformats.org/package/2006/relationships"><Relationship Type="http://schemas.openxmlformats.org/officeDocument/2006/relationships/image" Target="/xl/media/image8.png" Id="rId1"/></Relationships>
</file>

<file path=xl/drawings/_rels/drawing9.xml.rels><Relationships xmlns="http://schemas.openxmlformats.org/package/2006/relationships"><Relationship Type="http://schemas.openxmlformats.org/officeDocument/2006/relationships/image" Target="/xl/media/image9.png" Id="rId1"/></Relationships>
</file>

<file path=xl/drawings/_rels/drawing10.xml.rels><Relationships xmlns="http://schemas.openxmlformats.org/package/2006/relationships"><Relationship Type="http://schemas.openxmlformats.org/officeDocument/2006/relationships/image" Target="/xl/media/image10.png" Id="rId1"/></Relationships>
</file>

<file path=xl/drawings/drawing1.xml><?xml version="1.0" encoding="utf-8"?>
<wsDr xmlns="http://schemas.openxmlformats.org/drawingml/2006/spreadsheetDrawing">
  <oneCellAnchor>
    <from>
      <col>10</col>
      <colOff>28575</colOff>
      <row>0</row>
      <rowOff>9525</rowOff>
    </from>
    <ext cx="914400" cy="3238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11</col>
      <colOff>581025</colOff>
      <row>0</row>
      <rowOff>9525</rowOff>
    </from>
    <ext cx="1076325" cy="381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30</col>
      <colOff>419100</colOff>
      <row>0</row>
      <rowOff>9525</rowOff>
    </from>
    <ext cx="971550" cy="3429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4.xml><?xml version="1.0" encoding="utf-8"?>
<wsDr xmlns="http://schemas.openxmlformats.org/drawingml/2006/spreadsheetDrawing">
  <oneCellAnchor>
    <from>
      <col>3</col>
      <colOff>1600200</colOff>
      <row>0</row>
      <rowOff>9525</rowOff>
    </from>
    <ext cx="1076325" cy="381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5.xml><?xml version="1.0" encoding="utf-8"?>
<wsDr xmlns="http://schemas.openxmlformats.org/drawingml/2006/spreadsheetDrawing">
  <oneCellAnchor>
    <from>
      <col>7</col>
      <colOff>2266950</colOff>
      <row>0</row>
      <rowOff>9525</rowOff>
    </from>
    <ext cx="1076325" cy="381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6.xml><?xml version="1.0" encoding="utf-8"?>
<wsDr xmlns="http://schemas.openxmlformats.org/drawingml/2006/spreadsheetDrawing">
  <oneCellAnchor>
    <from>
      <col>10</col>
      <colOff>180975</colOff>
      <row>0</row>
      <rowOff>9525</rowOff>
    </from>
    <ext cx="1076325" cy="381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7.xml><?xml version="1.0" encoding="utf-8"?>
<wsDr xmlns="http://schemas.openxmlformats.org/drawingml/2006/spreadsheetDrawing">
  <oneCellAnchor>
    <from>
      <col>3</col>
      <colOff>2933700</colOff>
      <row>0</row>
      <rowOff>9525</rowOff>
    </from>
    <ext cx="1076325" cy="381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8.xml><?xml version="1.0" encoding="utf-8"?>
<wsDr xmlns="http://schemas.openxmlformats.org/drawingml/2006/spreadsheetDrawing">
  <oneCellAnchor>
    <from>
      <col>5</col>
      <colOff>2133600</colOff>
      <row>0</row>
      <rowOff>9525</rowOff>
    </from>
    <ext cx="1076325" cy="381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9.xml><?xml version="1.0" encoding="utf-8"?>
<wsDr xmlns="http://schemas.openxmlformats.org/drawingml/2006/spreadsheetDrawing">
  <oneCellAnchor>
    <from>
      <col>10</col>
      <colOff>1314450</colOff>
      <row>0</row>
      <rowOff>9525</rowOff>
    </from>
    <ext cx="1076325" cy="381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10.xml><?xml version="1.0" encoding="utf-8"?>
<wsDr xmlns="http://schemas.openxmlformats.org/drawingml/2006/spreadsheetDrawing">
  <oneCellAnchor>
    <from>
      <col>2</col>
      <colOff>6600825</colOff>
      <row>0</row>
      <rowOff>9525</rowOff>
    </from>
    <ext cx="1076325" cy="381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9.xml" Id="rId1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10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23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5" customWidth="1" min="4" max="4"/>
    <col width="16" customWidth="1" min="5" max="5"/>
    <col width="16" customWidth="1" min="6" max="6"/>
    <col width="16" customWidth="1" min="7" max="7"/>
    <col width="5" customWidth="1" min="8" max="8"/>
    <col width="14" customWidth="1" min="9" max="9"/>
    <col width="14" customWidth="1" min="10" max="10"/>
    <col width="14" customWidth="1" min="11" max="11"/>
  </cols>
  <sheetData>
    <row r="1" ht="28" customHeight="1">
      <c r="A1" s="1" t="inlineStr">
        <is>
          <t>Fußbodenheizung – Auslegung nach DIN EN 1264</t>
        </is>
      </c>
      <c r="I1" s="2" t="n"/>
      <c r="J1" s="2" t="n"/>
      <c r="K1" s="2" t="n"/>
    </row>
    <row r="2">
      <c r="A2" s="3" t="inlineStr">
        <is>
          <t>Eingaben · Verarbeitung · Ergebnisse</t>
        </is>
      </c>
      <c r="I2" s="2" t="n"/>
      <c r="J2" s="2" t="n"/>
      <c r="K2" s="2" t="n"/>
    </row>
    <row r="3">
      <c r="A3" s="4">
        <f>"Projekt-Nr.: "&amp;'Grundeinstellungen'!$C$2&amp;"          Projekt: "&amp;'Grundeinstellungen'!$C$3&amp;"          Bearbeiter: "&amp;'Grundeinstellungen'!$M$2</f>
        <v/>
      </c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</row>
    <row r="5" ht="20" customHeight="1">
      <c r="A5" s="5" t="inlineStr">
        <is>
          <t>EINGABEN</t>
        </is>
      </c>
      <c r="B5" s="6" t="n"/>
      <c r="C5" s="6" t="n"/>
      <c r="D5" s="2" t="n"/>
      <c r="E5" s="5" t="inlineStr">
        <is>
          <t>BERECHNUNG</t>
        </is>
      </c>
      <c r="F5" s="6" t="n"/>
      <c r="G5" s="6" t="n"/>
      <c r="H5" s="2" t="n"/>
      <c r="I5" s="5" t="inlineStr">
        <is>
          <t>ERGEBNISSE</t>
        </is>
      </c>
      <c r="J5" s="6" t="n"/>
      <c r="K5" s="6" t="n"/>
    </row>
    <row r="6" ht="18" customHeight="1">
      <c r="A6" s="7" t="inlineStr">
        <is>
          <t>Globale Vorgaben</t>
        </is>
      </c>
      <c r="B6" s="8" t="n"/>
      <c r="C6" s="8" t="n"/>
      <c r="D6" s="9" t="inlineStr">
        <is>
          <t>→</t>
        </is>
      </c>
      <c r="E6" s="7" t="inlineStr">
        <is>
          <t>Heizleistung nach oben (EN 1264)</t>
        </is>
      </c>
      <c r="F6" s="8" t="n"/>
      <c r="G6" s="8" t="n"/>
      <c r="H6" s="9" t="inlineStr">
        <is>
          <t>→</t>
        </is>
      </c>
      <c r="I6" s="7" t="inlineStr">
        <is>
          <t>Je Raum</t>
        </is>
      </c>
      <c r="J6" s="8" t="n"/>
      <c r="K6" s="8" t="n"/>
    </row>
    <row r="7" ht="18" customHeight="1">
      <c r="A7" s="10" t="inlineStr">
        <is>
          <t>•  Vorlauf- und Rücklauftemperatur</t>
        </is>
      </c>
      <c r="B7" s="11" t="n"/>
      <c r="C7" s="11" t="n"/>
      <c r="E7" s="12" t="inlineStr">
        <is>
          <r>
            <t>q = B · a</t>
          </r>
          <r>
            <rPr>
              <rFont val="Arial"/>
              <b val="1"/>
              <color rgb="00000000"/>
              <sz val="10"/>
              <vertAlign val="subscript"/>
            </rPr>
            <t>B</t>
          </r>
          <r>
            <t xml:space="preserve"> · a</t>
          </r>
          <r>
            <rPr>
              <rFont val="Arial"/>
              <b val="1"/>
              <color rgb="00000000"/>
              <sz val="10"/>
              <vertAlign val="subscript"/>
            </rPr>
            <t>T</t>
          </r>
          <r>
            <rPr>
              <rFont val="Arial"/>
              <b val="1"/>
              <color rgb="00000000"/>
              <sz val="10"/>
              <vertAlign val="superscript"/>
            </rPr>
            <t>mT</t>
          </r>
          <r>
            <t xml:space="preserve"> · a</t>
          </r>
          <r>
            <rPr>
              <rFont val="Arial"/>
              <b val="1"/>
              <color rgb="00000000"/>
              <sz val="10"/>
              <vertAlign val="subscript"/>
            </rPr>
            <t>ü</t>
          </r>
          <r>
            <rPr>
              <rFont val="Arial"/>
              <b val="1"/>
              <color rgb="00000000"/>
              <sz val="10"/>
              <vertAlign val="superscript"/>
            </rPr>
            <t>mü</t>
          </r>
          <r>
            <t xml:space="preserve"> · a</t>
          </r>
          <r>
            <rPr>
              <rFont val="Arial"/>
              <b val="1"/>
              <color rgb="00000000"/>
              <sz val="10"/>
              <vertAlign val="subscript"/>
            </rPr>
            <t>D</t>
          </r>
          <r>
            <rPr>
              <rFont val="Arial"/>
              <b val="1"/>
              <color rgb="00000000"/>
              <sz val="10"/>
              <vertAlign val="superscript"/>
            </rPr>
            <t>mD</t>
          </r>
          <r>
            <t xml:space="preserve"> · Δθ</t>
          </r>
          <r>
            <rPr>
              <rFont val="Arial"/>
              <b val="1"/>
              <color rgb="00000000"/>
              <sz val="10"/>
              <vertAlign val="subscript"/>
            </rPr>
            <t>H</t>
          </r>
        </is>
      </c>
      <c r="F7" s="13" t="n"/>
      <c r="G7" s="13" t="n"/>
      <c r="I7" s="10" t="inlineStr">
        <is>
          <t>•  Spezifische Heizleistung</t>
        </is>
      </c>
      <c r="J7" s="11" t="n"/>
      <c r="K7" s="11" t="n"/>
    </row>
    <row r="8" ht="18" customHeight="1">
      <c r="A8" s="10" t="inlineStr">
        <is>
          <t>•  Rohrsystem und Stoffwerte</t>
        </is>
      </c>
      <c r="B8" s="11" t="n"/>
      <c r="C8" s="11" t="n"/>
      <c r="E8" s="12" t="inlineStr">
        <is>
          <r>
            <t>Δθ</t>
          </r>
          <r>
            <rPr>
              <rFont val="Arial"/>
              <b val="1"/>
              <color rgb="00000000"/>
              <sz val="10"/>
              <vertAlign val="subscript"/>
            </rPr>
            <t>H</t>
          </r>
          <r>
            <t xml:space="preserve"> = (θ</t>
          </r>
          <r>
            <rPr>
              <rFont val="Arial"/>
              <b val="1"/>
              <color rgb="00000000"/>
              <sz val="10"/>
              <vertAlign val="subscript"/>
            </rPr>
            <t>V</t>
          </r>
          <r>
            <t xml:space="preserve"> − θ</t>
          </r>
          <r>
            <rPr>
              <rFont val="Arial"/>
              <b val="1"/>
              <color rgb="00000000"/>
              <sz val="10"/>
              <vertAlign val="subscript"/>
            </rPr>
            <t>R</t>
          </r>
          <r>
            <t>) / ln[(θ</t>
          </r>
          <r>
            <rPr>
              <rFont val="Arial"/>
              <b val="1"/>
              <color rgb="00000000"/>
              <sz val="10"/>
              <vertAlign val="subscript"/>
            </rPr>
            <t>V</t>
          </r>
          <r>
            <t xml:space="preserve"> − θ</t>
          </r>
          <r>
            <rPr>
              <rFont val="Arial"/>
              <b val="1"/>
              <color rgb="00000000"/>
              <sz val="10"/>
              <vertAlign val="subscript"/>
            </rPr>
            <t>i</t>
          </r>
          <r>
            <t>) / (θ</t>
          </r>
          <r>
            <rPr>
              <rFont val="Arial"/>
              <b val="1"/>
              <color rgb="00000000"/>
              <sz val="10"/>
              <vertAlign val="subscript"/>
            </rPr>
            <t>R</t>
          </r>
          <r>
            <t xml:space="preserve"> − θ</t>
          </r>
          <r>
            <rPr>
              <rFont val="Arial"/>
              <b val="1"/>
              <color rgb="00000000"/>
              <sz val="10"/>
              <vertAlign val="subscript"/>
            </rPr>
            <t>i</t>
          </r>
          <r>
            <t>)]</t>
          </r>
        </is>
      </c>
      <c r="F8" s="13" t="n"/>
      <c r="G8" s="13" t="n"/>
      <c r="I8" s="10" t="inlineStr">
        <is>
          <t>•  Oberflächentemperatur</t>
        </is>
      </c>
      <c r="J8" s="11" t="n"/>
      <c r="K8" s="11" t="n"/>
    </row>
    <row r="9" ht="18" customHeight="1">
      <c r="A9" s="10" t="inlineStr">
        <is>
          <t>•  Wärmeübergang und Estrichaufbau</t>
        </is>
      </c>
      <c r="B9" s="11" t="n"/>
      <c r="C9" s="11" t="n"/>
      <c r="E9" s="12" t="inlineStr">
        <is>
          <r>
            <t>m</t>
          </r>
          <r>
            <rPr>
              <rFont val="Arial"/>
              <b val="1"/>
              <color rgb="00000000"/>
              <sz val="10"/>
              <vertAlign val="subscript"/>
            </rPr>
            <t>T</t>
          </r>
          <r>
            <t xml:space="preserve"> = 1 − Abstand / 0,075</t>
          </r>
        </is>
      </c>
      <c r="F9" s="13" t="n"/>
      <c r="G9" s="13" t="n"/>
      <c r="I9" s="10" t="inlineStr">
        <is>
          <t>•  Deckungsgrad (Ampelbewertung)</t>
        </is>
      </c>
      <c r="J9" s="11" t="n"/>
      <c r="K9" s="11" t="n"/>
    </row>
    <row r="10" ht="18" customHeight="1">
      <c r="A10" s="10" t="inlineStr">
        <is>
          <t>•  Dämmung nach unten</t>
        </is>
      </c>
      <c r="B10" s="11" t="n"/>
      <c r="C10" s="11" t="n"/>
      <c r="E10" s="10" t="inlineStr">
        <is>
          <t>•  Faktoren je R-Wert (Konstanten-Tabelle)</t>
        </is>
      </c>
      <c r="F10" s="11" t="n"/>
      <c r="G10" s="11" t="n"/>
      <c r="I10" s="10" t="inlineStr">
        <is>
          <t>•  Rohrlänge je Heizkreis (Ampel)</t>
        </is>
      </c>
      <c r="J10" s="11" t="n"/>
      <c r="K10" s="11" t="n"/>
    </row>
    <row r="11" ht="18" customHeight="1">
      <c r="A11" s="10" t="inlineStr">
        <is>
          <t>•  Grenzwerte (Länge, Druck, Strömung)</t>
        </is>
      </c>
      <c r="B11" s="11" t="n"/>
      <c r="C11" s="11" t="n"/>
      <c r="E11" s="7" t="inlineStr">
        <is>
          <t>Oberflächentemperatur</t>
        </is>
      </c>
      <c r="F11" s="8" t="n"/>
      <c r="G11" s="8" t="n"/>
      <c r="I11" s="10" t="inlineStr">
        <is>
          <t>•  Massenstrom und Volumenstrom</t>
        </is>
      </c>
      <c r="J11" s="11" t="n"/>
      <c r="K11" s="11" t="n"/>
    </row>
    <row r="12" ht="18" customHeight="1">
      <c r="A12" s="7" t="inlineStr">
        <is>
          <t>Je Raum</t>
        </is>
      </c>
      <c r="B12" s="8" t="n"/>
      <c r="C12" s="8" t="n"/>
      <c r="E12" s="12" t="inlineStr">
        <is>
          <r>
            <t>θ</t>
          </r>
          <r>
            <rPr>
              <rFont val="Arial"/>
              <b val="1"/>
              <color rgb="00000000"/>
              <sz val="10"/>
              <vertAlign val="subscript"/>
            </rPr>
            <t>F</t>
          </r>
          <r>
            <t xml:space="preserve"> = θ</t>
          </r>
          <r>
            <rPr>
              <rFont val="Arial"/>
              <b val="1"/>
              <color rgb="00000000"/>
              <sz val="10"/>
              <vertAlign val="subscript"/>
            </rPr>
            <t>i</t>
          </r>
          <r>
            <t xml:space="preserve"> + q / α</t>
          </r>
        </is>
      </c>
      <c r="F12" s="13" t="n"/>
      <c r="G12" s="13" t="n"/>
      <c r="I12" s="10" t="inlineStr">
        <is>
          <t>•  Strömungsgeschwindigkeit</t>
        </is>
      </c>
      <c r="J12" s="11" t="n"/>
      <c r="K12" s="11" t="n"/>
    </row>
    <row r="13" ht="18" customHeight="1">
      <c r="A13" s="10" t="inlineStr">
        <is>
          <t>•  Raumfläche und aktivierbare Fläche</t>
        </is>
      </c>
      <c r="B13" s="11" t="n"/>
      <c r="C13" s="11" t="n"/>
      <c r="E13" s="7" t="inlineStr">
        <is>
          <t>Hydraulik / Druckverlust</t>
        </is>
      </c>
      <c r="F13" s="8" t="n"/>
      <c r="G13" s="8" t="n"/>
      <c r="I13" s="10" t="inlineStr">
        <is>
          <t>•  Druckverlust je Heizkreis (Ampel)</t>
        </is>
      </c>
      <c r="J13" s="11" t="n"/>
      <c r="K13" s="11" t="n"/>
    </row>
    <row r="14" ht="18" customHeight="1">
      <c r="A14" s="10" t="inlineStr">
        <is>
          <t>•  Heizlast und Raumtemperatur</t>
        </is>
      </c>
      <c r="B14" s="11" t="n"/>
      <c r="C14" s="11" t="n"/>
      <c r="E14" s="10" t="inlineStr">
        <is>
          <t>•  Maßgebliche Leistung → Massenstrom</t>
        </is>
      </c>
      <c r="F14" s="11" t="n"/>
      <c r="G14" s="11" t="n"/>
      <c r="I14" s="7" t="inlineStr">
        <is>
          <t>Je Heizkreisverteiler</t>
        </is>
      </c>
      <c r="J14" s="8" t="n"/>
      <c r="K14" s="8" t="n"/>
    </row>
    <row r="15" ht="18" customHeight="1">
      <c r="A15" s="10" t="inlineStr">
        <is>
          <t>•  Bodenbelag-Widerstand, Verlegeabstand</t>
        </is>
      </c>
      <c r="B15" s="11" t="n"/>
      <c r="C15" s="11" t="n"/>
      <c r="E15" s="12" t="inlineStr">
        <is>
          <r>
            <t>Δp = λ · (L / d</t>
          </r>
          <r>
            <rPr>
              <rFont val="Arial"/>
              <b val="1"/>
              <color rgb="00000000"/>
              <sz val="10"/>
              <vertAlign val="subscript"/>
            </rPr>
            <t>i</t>
          </r>
          <r>
            <t>) · (ρ / 2) · v²</t>
          </r>
        </is>
      </c>
      <c r="F15" s="13" t="n"/>
      <c r="G15" s="13" t="n"/>
      <c r="I15" s="10" t="inlineStr">
        <is>
          <t>•  Leistung und Volumenstrom</t>
        </is>
      </c>
      <c r="J15" s="11" t="n"/>
      <c r="K15" s="11" t="n"/>
    </row>
    <row r="16" ht="18" customHeight="1">
      <c r="A16" s="10" t="inlineStr">
        <is>
          <t>•  Anzahl Heizkreise, Zuleitung, Zone</t>
        </is>
      </c>
      <c r="B16" s="11" t="n"/>
      <c r="C16" s="11" t="n"/>
      <c r="E16" s="10" t="inlineStr">
        <is>
          <t>•  Strömung: Reynolds-Zahl, Rohrreibung</t>
        </is>
      </c>
      <c r="F16" s="11" t="n"/>
      <c r="G16" s="11" t="n"/>
      <c r="I16" s="10" t="inlineStr">
        <is>
          <t>•  Maximaler Druckverlust</t>
        </is>
      </c>
      <c r="J16" s="11" t="n"/>
      <c r="K16" s="11" t="n"/>
    </row>
    <row r="17" ht="18" customHeight="1">
      <c r="A17" s="10" t="inlineStr">
        <is>
          <t>•  Heizkreisverteiler</t>
        </is>
      </c>
      <c r="B17" s="11" t="n"/>
      <c r="C17" s="11" t="n"/>
      <c r="E17" s="10" t="inlineStr">
        <is>
          <t>•  Rohrlängen je Heizkreis</t>
        </is>
      </c>
      <c r="F17" s="11" t="n"/>
      <c r="G17" s="11" t="n"/>
      <c r="I17" s="7" t="inlineStr">
        <is>
          <t>Gesamt</t>
        </is>
      </c>
      <c r="J17" s="8" t="n"/>
      <c r="K17" s="8" t="n"/>
    </row>
    <row r="18" ht="18" customHeight="1">
      <c r="A18" s="7" t="inlineStr">
        <is>
          <t>EN-1264-Faktoren</t>
        </is>
      </c>
      <c r="B18" s="8" t="n"/>
      <c r="C18" s="8" t="n"/>
      <c r="E18" s="7" t="inlineStr">
        <is>
          <t>Prüfungen (Ampelbewertung)</t>
        </is>
      </c>
      <c r="F18" s="8" t="n"/>
      <c r="G18" s="8" t="n"/>
      <c r="I18" s="10" t="inlineStr">
        <is>
          <t>•  Kontrolle und Warnübersicht</t>
        </is>
      </c>
      <c r="J18" s="11" t="n"/>
      <c r="K18" s="11" t="n"/>
    </row>
    <row r="19" ht="18" customHeight="1">
      <c r="A19" s="10" t="inlineStr">
        <is>
          <t>•  B, a_B, a_T, a_ü, a_D (Konstanten)</t>
        </is>
      </c>
      <c r="B19" s="11" t="n"/>
      <c r="C19" s="11" t="n"/>
      <c r="E19" s="10" t="inlineStr">
        <is>
          <t>•  Deckung, Temperatur, Druckverlust</t>
        </is>
      </c>
      <c r="F19" s="11" t="n"/>
      <c r="G19" s="11" t="n"/>
      <c r="I19" s="14" t="inlineStr"/>
      <c r="J19" s="11" t="n"/>
      <c r="K19" s="11" t="n"/>
    </row>
    <row r="20" ht="18" customHeight="1">
      <c r="A20" s="14" t="inlineStr"/>
      <c r="B20" s="11" t="n"/>
      <c r="C20" s="11" t="n"/>
      <c r="E20" s="14" t="inlineStr"/>
      <c r="F20" s="11" t="n"/>
      <c r="G20" s="11" t="n"/>
      <c r="I20" s="14" t="inlineStr"/>
      <c r="J20" s="11" t="n"/>
      <c r="K20" s="11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</row>
    <row r="22">
      <c r="A22" s="15" t="inlineStr">
        <is>
          <t>Formelzeichen:  θV / θR  Vorlauf- / Rücklauftemperatur · θi  Raumtemperatur · θF  Oberflächentemperatur · B  Systemkoeffizient · a_B / a_T  Bodenbelag- / Teilungsfaktor · a_ü / a_D  Überdeckungs- / Durchmesserfaktor · α  Wärmeübergangskoeffizient · λ  Rohrreibungszahl · ρ  Dichte · v  Strömungsgeschwindigkeit</t>
        </is>
      </c>
    </row>
    <row r="23">
      <c r="A23" s="15" t="inlineStr">
        <is>
          <t>Überschlägige Auslegung – Vereinfachungen und Annahmen siehe Blatt „Methodik“.</t>
        </is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/>
  <mergeCells count="55">
    <mergeCell ref="I16:K16"/>
    <mergeCell ref="E10:G10"/>
    <mergeCell ref="E13:G13"/>
    <mergeCell ref="E19:G19"/>
    <mergeCell ref="D6:D20"/>
    <mergeCell ref="A18:C18"/>
    <mergeCell ref="E9:G9"/>
    <mergeCell ref="I12:K12"/>
    <mergeCell ref="I18:K18"/>
    <mergeCell ref="A1:H1"/>
    <mergeCell ref="A12:C12"/>
    <mergeCell ref="E15:G15"/>
    <mergeCell ref="E6:G6"/>
    <mergeCell ref="E11:G11"/>
    <mergeCell ref="A5:C5"/>
    <mergeCell ref="I14:K14"/>
    <mergeCell ref="I5:K5"/>
    <mergeCell ref="A8:C8"/>
    <mergeCell ref="A14:C14"/>
    <mergeCell ref="H6:H20"/>
    <mergeCell ref="A17:C17"/>
    <mergeCell ref="I8:K8"/>
    <mergeCell ref="I17:K17"/>
    <mergeCell ref="I20:K20"/>
    <mergeCell ref="A20:C20"/>
    <mergeCell ref="E7:G7"/>
    <mergeCell ref="I7:K7"/>
    <mergeCell ref="E16:G16"/>
    <mergeCell ref="A10:C10"/>
    <mergeCell ref="I19:K19"/>
    <mergeCell ref="A13:C13"/>
    <mergeCell ref="A19:C19"/>
    <mergeCell ref="I10:K10"/>
    <mergeCell ref="A3:K3"/>
    <mergeCell ref="I13:K13"/>
    <mergeCell ref="A2:H2"/>
    <mergeCell ref="I9:K9"/>
    <mergeCell ref="A9:C9"/>
    <mergeCell ref="E12:G12"/>
    <mergeCell ref="E18:G18"/>
    <mergeCell ref="E20:G20"/>
    <mergeCell ref="A15:C15"/>
    <mergeCell ref="I15:K15"/>
    <mergeCell ref="A23:K23"/>
    <mergeCell ref="I6:K6"/>
    <mergeCell ref="I11:K11"/>
    <mergeCell ref="A22:K22"/>
    <mergeCell ref="A11:C11"/>
    <mergeCell ref="E14:G14"/>
    <mergeCell ref="E5:G5"/>
    <mergeCell ref="A6:C6"/>
    <mergeCell ref="E8:G8"/>
    <mergeCell ref="E17:G17"/>
    <mergeCell ref="A7:C7"/>
    <mergeCell ref="A16:C16"/>
  </mergeCells>
  <pageMargins left="0.3" right="0.3" top="0.3" bottom="0.3" header="0.5" footer="0.5"/>
  <pageSetup orientation="landscape" paperSize="9" fitToHeight="1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M25"/>
  <sheetViews>
    <sheetView showGridLines="0" workbookViewId="0">
      <selection activeCell="A1" sqref="A1"/>
    </sheetView>
  </sheetViews>
  <sheetFormatPr baseColWidth="8" defaultRowHeight="15"/>
  <cols>
    <col width="23" customWidth="1" min="1" max="1"/>
    <col width="15" customWidth="1" min="2" max="2"/>
    <col width="11" customWidth="1" min="3" max="3"/>
    <col width="8" customWidth="1" min="4" max="4"/>
    <col width="17" customWidth="1" min="5" max="5"/>
    <col width="7" customWidth="1" min="6" max="6"/>
    <col width="2" customWidth="1" min="7" max="7"/>
    <col width="23" customWidth="1" min="8" max="8"/>
    <col width="15" customWidth="1" min="9" max="9"/>
    <col width="14" customWidth="1" min="10" max="10"/>
    <col width="8" customWidth="1" min="11" max="11"/>
    <col width="17" customWidth="1" min="12" max="12"/>
    <col width="7" customWidth="1" min="13" max="13"/>
  </cols>
  <sheetData>
    <row r="1" ht="34" customHeight="1">
      <c r="A1" s="16" t="inlineStr">
        <is>
          <t>Globale Grundeinstellungen – Fußbodenheizung (DIN EN 1264)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</row>
    <row r="2">
      <c r="A2" s="17" t="inlineStr">
        <is>
          <t>Projekt-Nr.</t>
        </is>
      </c>
      <c r="C2" s="18" t="inlineStr"/>
      <c r="D2" s="19" t="n"/>
      <c r="E2" s="19" t="n"/>
      <c r="F2" s="20" t="n"/>
      <c r="G2" s="2" t="n"/>
      <c r="H2" s="2" t="n"/>
      <c r="I2" s="2" t="n"/>
      <c r="J2" s="2" t="n"/>
      <c r="K2" s="2" t="n"/>
      <c r="L2" s="21" t="inlineStr">
        <is>
          <t>Bearbeiter:</t>
        </is>
      </c>
      <c r="M2" s="22" t="inlineStr"/>
    </row>
    <row r="3">
      <c r="A3" s="17" t="inlineStr">
        <is>
          <t>Projektname</t>
        </is>
      </c>
      <c r="C3" s="18" t="inlineStr"/>
      <c r="D3" s="19" t="n"/>
      <c r="E3" s="19" t="n"/>
      <c r="F3" s="20" t="n"/>
      <c r="G3" s="2" t="n"/>
      <c r="H3" s="2" t="n"/>
      <c r="I3" s="2" t="n"/>
      <c r="J3" s="2" t="n"/>
      <c r="K3" s="2" t="n"/>
      <c r="L3" s="2" t="n"/>
      <c r="M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</row>
    <row r="5">
      <c r="A5" s="23" t="inlineStr">
        <is>
          <t>Heizmedium / Temperaturen</t>
        </is>
      </c>
      <c r="B5" s="24" t="n"/>
      <c r="C5" s="24" t="n"/>
      <c r="D5" s="24" t="n"/>
      <c r="E5" s="24" t="n"/>
      <c r="F5" s="24" t="n"/>
      <c r="G5" s="2" t="n"/>
      <c r="H5" s="23" t="inlineStr">
        <is>
          <t>Wärmeübergang / Fußbodenaufbau</t>
        </is>
      </c>
      <c r="I5" s="24" t="n"/>
      <c r="J5" s="24" t="n"/>
      <c r="K5" s="24" t="n"/>
      <c r="L5" s="24" t="n"/>
      <c r="M5" s="24" t="n"/>
    </row>
    <row r="6">
      <c r="A6" s="25" t="inlineStr">
        <is>
          <t>Vorlauftemperatur  θV</t>
        </is>
      </c>
      <c r="C6" s="26" t="n">
        <v>35</v>
      </c>
      <c r="D6" s="27" t="inlineStr">
        <is>
          <t>°C</t>
        </is>
      </c>
      <c r="E6" s="28" t="inlineStr">
        <is>
          <t>Auslegungs-Vorlauf</t>
        </is>
      </c>
      <c r="G6" s="2" t="n"/>
      <c r="H6" s="25" t="inlineStr">
        <is>
          <t>Wärmeübergang Oberfläche  α</t>
        </is>
      </c>
      <c r="J6" s="29" t="n">
        <v>10.8</v>
      </c>
      <c r="K6" s="27" t="inlineStr">
        <is>
          <t>W/m²K</t>
        </is>
      </c>
      <c r="L6" s="28" t="inlineStr">
        <is>
          <t>Boden → Raum (EN 1264)</t>
        </is>
      </c>
    </row>
    <row r="7">
      <c r="A7" s="25" t="inlineStr">
        <is>
          <t>Rücklauftemperatur  θR</t>
        </is>
      </c>
      <c r="C7" s="26" t="n">
        <v>28</v>
      </c>
      <c r="D7" s="27" t="inlineStr">
        <is>
          <t>°C</t>
        </is>
      </c>
      <c r="E7" s="28" t="inlineStr">
        <is>
          <t>Auslegungs-Rücklauf</t>
        </is>
      </c>
      <c r="G7" s="2" t="n"/>
      <c r="H7" s="25" t="inlineStr">
        <is>
          <r>
            <t>Estrichüberdeckung über Rohr  s</t>
          </r>
          <r>
            <rPr>
              <rFont val="Arial"/>
              <color rgb="00000000"/>
              <sz val="10"/>
              <vertAlign val="subscript"/>
            </rPr>
            <t>ü</t>
          </r>
        </is>
      </c>
      <c r="J7" s="30" t="n">
        <v>0.045</v>
      </c>
      <c r="K7" s="27" t="inlineStr">
        <is>
          <t>m</t>
        </is>
      </c>
      <c r="L7" s="28" t="inlineStr">
        <is>
          <t>Estrich über den Rohren</t>
        </is>
      </c>
    </row>
    <row r="8">
      <c r="A8" s="25" t="inlineStr">
        <is>
          <t>Spreizung  θV − θR</t>
        </is>
      </c>
      <c r="C8" s="31">
        <f>C6-C7</f>
        <v/>
      </c>
      <c r="D8" s="27" t="inlineStr">
        <is>
          <t>K</t>
        </is>
      </c>
      <c r="E8" s="28" t="inlineStr">
        <is>
          <t>berechnet</t>
        </is>
      </c>
      <c r="G8" s="2" t="n"/>
      <c r="H8" s="25" t="inlineStr">
        <is>
          <r>
            <t>Wärmeleitfähigkeit Estrich  λ</t>
          </r>
          <r>
            <rPr>
              <rFont val="Arial"/>
              <color rgb="00000000"/>
              <sz val="10"/>
              <vertAlign val="subscript"/>
            </rPr>
            <t>E</t>
          </r>
        </is>
      </c>
      <c r="J8" s="32" t="n">
        <v>1.2</v>
      </c>
      <c r="K8" s="27" t="inlineStr">
        <is>
          <t>W/mK</t>
        </is>
      </c>
      <c r="L8" s="28" t="inlineStr">
        <is>
          <t>Zementestrich typ. 1,2</t>
        </is>
      </c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</row>
    <row r="10">
      <c r="A10" s="23" t="inlineStr">
        <is>
          <t>Grenzwerte</t>
        </is>
      </c>
      <c r="B10" s="24" t="n"/>
      <c r="C10" s="24" t="n"/>
      <c r="D10" s="24" t="n"/>
      <c r="E10" s="24" t="n"/>
      <c r="F10" s="24" t="n"/>
      <c r="G10" s="2" t="n"/>
      <c r="H10" s="23" t="inlineStr">
        <is>
          <t>Wärmeabgabe nach unten (Dämmung, global)</t>
        </is>
      </c>
      <c r="I10" s="24" t="n"/>
      <c r="J10" s="24" t="n"/>
      <c r="K10" s="24" t="n"/>
      <c r="L10" s="24" t="n"/>
      <c r="M10" s="24" t="n"/>
    </row>
    <row r="11">
      <c r="A11" s="25" t="inlineStr">
        <is>
          <t>Maximale zulässige Kreislänge</t>
        </is>
      </c>
      <c r="C11" s="33" t="n">
        <v>120</v>
      </c>
      <c r="D11" s="27" t="inlineStr">
        <is>
          <t>m</t>
        </is>
      </c>
      <c r="E11" s="28" t="inlineStr">
        <is>
          <t>Obergrenze je Heizkreis</t>
        </is>
      </c>
      <c r="G11" s="2" t="n"/>
      <c r="H11" s="25" t="inlineStr">
        <is>
          <r>
            <t>Wärmedurchlasswiderstand  R</t>
          </r>
          <r>
            <rPr>
              <rFont val="Arial"/>
              <color rgb="00000000"/>
              <sz val="10"/>
              <vertAlign val="subscript"/>
            </rPr>
            <t>u</t>
          </r>
        </is>
      </c>
      <c r="J11" s="32" t="n">
        <v>2</v>
      </c>
      <c r="K11" s="27" t="inlineStr">
        <is>
          <t>m²K/W</t>
        </is>
      </c>
      <c r="L11" s="28" t="inlineStr">
        <is>
          <t>Dämmung unter den Rohren</t>
        </is>
      </c>
    </row>
    <row r="12">
      <c r="A12" s="25" t="inlineStr">
        <is>
          <t>Maximaler Druckverlust je Kreis</t>
        </is>
      </c>
      <c r="C12" s="34" t="n">
        <v>15000</v>
      </c>
      <c r="D12" s="27" t="inlineStr">
        <is>
          <t>Pa</t>
        </is>
      </c>
      <c r="E12" s="28" t="inlineStr">
        <is>
          <t>Warnschwelle</t>
        </is>
      </c>
      <c r="G12" s="2" t="n"/>
      <c r="H12" s="25" t="inlineStr">
        <is>
          <r>
            <t>Temperatur unter der Decke  θ</t>
          </r>
          <r>
            <rPr>
              <rFont val="Arial"/>
              <color rgb="00000000"/>
              <sz val="10"/>
              <vertAlign val="subscript"/>
            </rPr>
            <t>u</t>
          </r>
        </is>
      </c>
      <c r="J12" s="26" t="n">
        <v>10</v>
      </c>
      <c r="K12" s="27" t="inlineStr">
        <is>
          <t>°C</t>
        </is>
      </c>
      <c r="L12" s="28" t="inlineStr">
        <is>
          <t>Raum/Erdreich unter FBH</t>
        </is>
      </c>
    </row>
    <row r="13">
      <c r="A13" s="2" t="n"/>
      <c r="B13" s="2" t="n"/>
      <c r="C13" s="2" t="n"/>
      <c r="D13" s="2" t="n"/>
      <c r="E13" s="2" t="n"/>
      <c r="F13" s="2" t="n"/>
      <c r="G13" s="2" t="n"/>
      <c r="H13" s="25" t="inlineStr">
        <is>
          <r>
            <t>Wärmestrom nach unten  q</t>
          </r>
          <r>
            <rPr>
              <rFont val="Arial"/>
              <color rgb="00000000"/>
              <sz val="10"/>
              <vertAlign val="subscript"/>
            </rPr>
            <t>u</t>
          </r>
        </is>
      </c>
      <c r="J13" s="35">
        <f>((C6+C7)/2-J12)/J11</f>
        <v/>
      </c>
      <c r="K13" s="27" t="inlineStr">
        <is>
          <t>W/m²</t>
        </is>
      </c>
      <c r="L13" s="28" t="inlineStr">
        <is>
          <t>Mittel θm = (θV+θR)/2</t>
        </is>
      </c>
    </row>
    <row r="14">
      <c r="A14" s="23" t="inlineStr">
        <is>
          <t>Stoffwerte Heizmedium (Wasser ~30 °C)</t>
        </is>
      </c>
      <c r="B14" s="24" t="n"/>
      <c r="C14" s="24" t="n"/>
      <c r="D14" s="24" t="n"/>
      <c r="E14" s="24" t="n"/>
      <c r="F14" s="24" t="n"/>
      <c r="G14" s="2" t="n"/>
      <c r="H14" s="2" t="n"/>
      <c r="I14" s="2" t="n"/>
      <c r="J14" s="2" t="n"/>
      <c r="K14" s="2" t="n"/>
      <c r="L14" s="2" t="n"/>
      <c r="M14" s="2" t="n"/>
    </row>
    <row r="15">
      <c r="A15" s="25" t="inlineStr">
        <is>
          <t>Dichte  ρ</t>
        </is>
      </c>
      <c r="C15" s="29" t="n">
        <v>995.7</v>
      </c>
      <c r="D15" s="27" t="inlineStr">
        <is>
          <t>kg/m³</t>
        </is>
      </c>
      <c r="E15" s="28" t="inlineStr">
        <is>
          <t>Dichte des Mediums</t>
        </is>
      </c>
      <c r="G15" s="2" t="n"/>
      <c r="H15" s="23" t="inlineStr">
        <is>
          <t>Rohrsystem-Auswahl (Werte aus Konstanten)</t>
        </is>
      </c>
      <c r="I15" s="24" t="n"/>
      <c r="J15" s="24" t="n"/>
      <c r="K15" s="24" t="n"/>
      <c r="L15" s="24" t="n"/>
      <c r="M15" s="24" t="n"/>
    </row>
    <row r="16">
      <c r="A16" s="25" t="inlineStr">
        <is>
          <r>
            <t>spezifische Wärmekapazität  c</t>
          </r>
          <r>
            <rPr>
              <rFont val="Arial"/>
              <color rgb="00000000"/>
              <sz val="10"/>
              <vertAlign val="subscript"/>
            </rPr>
            <t>p</t>
          </r>
        </is>
      </c>
      <c r="C16" s="36" t="n">
        <v>4180</v>
      </c>
      <c r="D16" s="27" t="inlineStr">
        <is>
          <t>J/(kg·K)</t>
        </is>
      </c>
      <c r="E16" s="28" t="inlineStr">
        <is>
          <t>spez. Wärmekapazität</t>
        </is>
      </c>
      <c r="G16" s="2" t="n"/>
      <c r="H16" s="25" t="inlineStr">
        <is>
          <t>Gewähltes Rohrsystem</t>
        </is>
      </c>
      <c r="J16" s="22" t="inlineStr">
        <is>
          <t>PE-Xa 17x2</t>
        </is>
      </c>
      <c r="K16" s="20" t="n"/>
      <c r="L16" s="28" t="inlineStr">
        <is>
          <t>Dropdown</t>
        </is>
      </c>
    </row>
    <row r="17">
      <c r="A17" s="25" t="inlineStr">
        <is>
          <t>kinematische Viskosität  ν</t>
        </is>
      </c>
      <c r="C17" s="37" t="n">
        <v>8.01e-07</v>
      </c>
      <c r="D17" s="27" t="inlineStr">
        <is>
          <t>m²/s</t>
        </is>
      </c>
      <c r="E17" s="28" t="inlineStr">
        <is>
          <t>für die Reynolds-Zahl</t>
        </is>
      </c>
      <c r="G17" s="2" t="n"/>
      <c r="H17" s="25" t="inlineStr">
        <is>
          <t>→ Außendurchmesser  da</t>
        </is>
      </c>
      <c r="J17" s="38">
        <f>VLOOKUP($J$16,'Konstanten'!$A$18:$E$25,2,FALSE)</f>
        <v/>
      </c>
      <c r="K17" s="27" t="inlineStr">
        <is>
          <t>mm</t>
        </is>
      </c>
      <c r="L17" s="28" t="inlineStr">
        <is>
          <t>aus Rohrbibliothek</t>
        </is>
      </c>
    </row>
    <row r="18">
      <c r="A18" s="2" t="n"/>
      <c r="B18" s="2" t="n"/>
      <c r="C18" s="2" t="n"/>
      <c r="D18" s="2" t="n"/>
      <c r="E18" s="2" t="n"/>
      <c r="F18" s="2" t="n"/>
      <c r="G18" s="2" t="n"/>
      <c r="H18" s="25" t="inlineStr">
        <is>
          <t>→ Wandstärke  s</t>
        </is>
      </c>
      <c r="J18" s="38">
        <f>VLOOKUP($J$16,'Konstanten'!$A$18:$E$25,3,FALSE)</f>
        <v/>
      </c>
      <c r="K18" s="27" t="inlineStr">
        <is>
          <t>mm</t>
        </is>
      </c>
      <c r="L18" s="28" t="inlineStr">
        <is>
          <t>aus Rohrbibliothek</t>
        </is>
      </c>
    </row>
    <row r="19">
      <c r="A19" s="23" t="inlineStr">
        <is>
          <t>Strömungsgrenzwerte</t>
        </is>
      </c>
      <c r="B19" s="24" t="n"/>
      <c r="C19" s="24" t="n"/>
      <c r="D19" s="24" t="n"/>
      <c r="E19" s="24" t="n"/>
      <c r="F19" s="24" t="n"/>
      <c r="G19" s="2" t="n"/>
      <c r="H19" s="25" t="inlineStr">
        <is>
          <t>→ Innendurchmesser  di</t>
        </is>
      </c>
      <c r="J19" s="38">
        <f>VLOOKUP($J$16,'Konstanten'!$A$18:$E$25,4,FALSE)</f>
        <v/>
      </c>
      <c r="K19" s="27" t="inlineStr">
        <is>
          <t>mm</t>
        </is>
      </c>
      <c r="L19" s="28" t="inlineStr">
        <is>
          <t>di = da − 2·s</t>
        </is>
      </c>
    </row>
    <row r="20">
      <c r="A20" s="25" t="inlineStr">
        <is>
          <r>
            <t>Minimale Geschwindigkeit  v</t>
          </r>
          <r>
            <rPr>
              <rFont val="Arial"/>
              <color rgb="00000000"/>
              <sz val="10"/>
              <vertAlign val="subscript"/>
            </rPr>
            <t>min</t>
          </r>
        </is>
      </c>
      <c r="C20" s="39" t="n">
        <v>0.1</v>
      </c>
      <c r="D20" s="27" t="inlineStr">
        <is>
          <t>m/s</t>
        </is>
      </c>
      <c r="E20" s="28" t="inlineStr">
        <is>
          <t>untere empfohlene Grenze</t>
        </is>
      </c>
      <c r="G20" s="2" t="n"/>
      <c r="H20" s="25" t="inlineStr">
        <is>
          <t>→ Rauheit  k</t>
        </is>
      </c>
      <c r="J20" s="40">
        <f>VLOOKUP($J$16,'Konstanten'!$A$18:$E$25,5,FALSE)</f>
        <v/>
      </c>
      <c r="K20" s="27" t="inlineStr">
        <is>
          <t>mm</t>
        </is>
      </c>
      <c r="L20" s="28" t="inlineStr">
        <is>
          <t>aus Rohrbibliothek</t>
        </is>
      </c>
    </row>
    <row r="21">
      <c r="A21" s="25" t="inlineStr">
        <is>
          <r>
            <t>Maximale Geschwindigkeit  v</t>
          </r>
          <r>
            <rPr>
              <rFont val="Arial"/>
              <color rgb="00000000"/>
              <sz val="10"/>
              <vertAlign val="subscript"/>
            </rPr>
            <t>max</t>
          </r>
        </is>
      </c>
      <c r="C21" s="39" t="n">
        <v>0.5</v>
      </c>
      <c r="D21" s="27" t="inlineStr">
        <is>
          <t>m/s</t>
        </is>
      </c>
      <c r="E21" s="28" t="inlineStr">
        <is>
          <t>obere empfohlene Grenze</t>
        </is>
      </c>
      <c r="G21" s="2" t="n"/>
      <c r="H21" s="25" t="inlineStr">
        <is>
          <t>→ Innendurchmesser  di</t>
        </is>
      </c>
      <c r="J21" s="41">
        <f>J19/1000</f>
        <v/>
      </c>
      <c r="K21" s="27" t="inlineStr">
        <is>
          <t>m</t>
        </is>
      </c>
      <c r="L21" s="28" t="inlineStr">
        <is>
          <t>für die Berechnung</t>
        </is>
      </c>
    </row>
    <row r="22">
      <c r="A22" s="25" t="inlineStr">
        <is>
          <r>
            <t>Max. Volumenstrom je Kreis  V̇</t>
          </r>
          <r>
            <rPr>
              <rFont val="Arial"/>
              <color rgb="00000000"/>
              <sz val="10"/>
              <vertAlign val="subscript"/>
            </rPr>
            <t>max</t>
          </r>
        </is>
      </c>
      <c r="C22" s="42" t="n">
        <v>150</v>
      </c>
      <c r="D22" s="27" t="inlineStr">
        <is>
          <t>l/h</t>
        </is>
      </c>
      <c r="E22" s="28" t="inlineStr">
        <is>
          <t>Warnschwelle je Heizkreis</t>
        </is>
      </c>
      <c r="G22" s="2" t="n"/>
      <c r="H22" s="25" t="inlineStr">
        <is>
          <r>
            <t>→ Innenquerschnitt  A</t>
          </r>
          <r>
            <rPr>
              <rFont val="Arial"/>
              <color rgb="00000000"/>
              <sz val="10"/>
              <vertAlign val="subscript"/>
            </rPr>
            <t>i</t>
          </r>
        </is>
      </c>
      <c r="J22" s="43">
        <f>PI()/4*J21^2</f>
        <v/>
      </c>
      <c r="K22" s="27" t="inlineStr">
        <is>
          <t>m²</t>
        </is>
      </c>
      <c r="L22" s="28" t="inlineStr">
        <is>
          <t>für die Berechnung</t>
        </is>
      </c>
    </row>
    <row r="23">
      <c r="A23" s="23" t="inlineStr">
        <is>
          <t>Druckverlust-Zuschläge</t>
        </is>
      </c>
      <c r="B23" s="24" t="n"/>
      <c r="C23" s="24" t="n"/>
      <c r="D23" s="24" t="n"/>
      <c r="E23" s="24" t="n"/>
      <c r="F23" s="24" t="n"/>
      <c r="G23" s="2" t="n"/>
      <c r="H23" s="28" t="inlineStr">
        <is>
          <t>Gilt für Bauart A nach DIN EN 1264 (Heizrohre im Estrich).</t>
        </is>
      </c>
    </row>
    <row r="24">
      <c r="A24" s="25" t="inlineStr">
        <is>
          <t>Zuschlag Einzelwiderstände</t>
        </is>
      </c>
      <c r="C24" s="44" t="n">
        <v>0.05</v>
      </c>
      <c r="D24" s="27" t="inlineStr">
        <is>
          <t>-</t>
        </is>
      </c>
      <c r="E24" s="28" t="inlineStr">
        <is>
          <t>Formstücke (5 %)</t>
        </is>
      </c>
      <c r="G24" s="2" t="n"/>
      <c r="H24" s="2" t="n"/>
      <c r="I24" s="2" t="n"/>
      <c r="J24" s="2" t="n"/>
      <c r="K24" s="2" t="n"/>
      <c r="L24" s="2" t="n"/>
      <c r="M24" s="2" t="n"/>
    </row>
    <row r="25">
      <c r="A25" s="25" t="inlineStr">
        <is>
          <t>Aufschlag Verteiler je Kreis</t>
        </is>
      </c>
      <c r="C25" s="34" t="n">
        <v>500</v>
      </c>
      <c r="D25" s="27" t="inlineStr">
        <is>
          <t>Pa</t>
        </is>
      </c>
      <c r="E25" s="28" t="inlineStr">
        <is>
          <t>fester Wert je Verteiler</t>
        </is>
      </c>
      <c r="G25" s="2" t="n"/>
      <c r="H25" s="2" t="n"/>
      <c r="I25" s="2" t="n"/>
      <c r="J25" s="2" t="n"/>
      <c r="K25" s="2" t="n"/>
      <c r="L25" s="2" t="n"/>
      <c r="M25" s="2" t="n"/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/>
  <mergeCells count="58">
    <mergeCell ref="E12:F12"/>
    <mergeCell ref="L17:M17"/>
    <mergeCell ref="A24:B24"/>
    <mergeCell ref="A15:B15"/>
    <mergeCell ref="L7:M7"/>
    <mergeCell ref="H20:I20"/>
    <mergeCell ref="E24:F24"/>
    <mergeCell ref="L16:M16"/>
    <mergeCell ref="A11:B11"/>
    <mergeCell ref="L19:M19"/>
    <mergeCell ref="E17:F17"/>
    <mergeCell ref="E8:F8"/>
    <mergeCell ref="A6:B6"/>
    <mergeCell ref="L13:M13"/>
    <mergeCell ref="A16:B16"/>
    <mergeCell ref="C3:F3"/>
    <mergeCell ref="E20:F20"/>
    <mergeCell ref="A7:B7"/>
    <mergeCell ref="A25:B25"/>
    <mergeCell ref="H6:I6"/>
    <mergeCell ref="L12:M12"/>
    <mergeCell ref="H21:I21"/>
    <mergeCell ref="L18:M18"/>
    <mergeCell ref="L8:M8"/>
    <mergeCell ref="A3:B3"/>
    <mergeCell ref="A12:B12"/>
    <mergeCell ref="H17:I17"/>
    <mergeCell ref="H11:I11"/>
    <mergeCell ref="A21:B21"/>
    <mergeCell ref="A2:B2"/>
    <mergeCell ref="E6:F6"/>
    <mergeCell ref="E15:F15"/>
    <mergeCell ref="H16:I16"/>
    <mergeCell ref="L20:M20"/>
    <mergeCell ref="H7:I7"/>
    <mergeCell ref="J16:K16"/>
    <mergeCell ref="E11:F11"/>
    <mergeCell ref="H23:M23"/>
    <mergeCell ref="H19:I19"/>
    <mergeCell ref="A17:B17"/>
    <mergeCell ref="H22:I22"/>
    <mergeCell ref="A8:B8"/>
    <mergeCell ref="H13:I13"/>
    <mergeCell ref="L22:M22"/>
    <mergeCell ref="A22:B22"/>
    <mergeCell ref="A20:B20"/>
    <mergeCell ref="H12:I12"/>
    <mergeCell ref="E16:F16"/>
    <mergeCell ref="L21:M21"/>
    <mergeCell ref="L6:M6"/>
    <mergeCell ref="E7:F7"/>
    <mergeCell ref="E25:F25"/>
    <mergeCell ref="H18:I18"/>
    <mergeCell ref="L11:M11"/>
    <mergeCell ref="E22:F22"/>
    <mergeCell ref="H8:I8"/>
    <mergeCell ref="C2:F2"/>
    <mergeCell ref="E21:F21"/>
  </mergeCells>
  <dataValidations count="1">
    <dataValidation sqref="J16" showDropDown="0" showInputMessage="0" showErrorMessage="0" allowBlank="0" type="list">
      <formula1>='Konstanten'!$A$18:$A$25</formula1>
    </dataValidation>
  </dataValidations>
  <pageMargins left="0.4" right="0.4" top="0.5" bottom="0.5" header="0.5" footer="0.5"/>
  <pageSetup orientation="landscape" paperSize="9" fitToHeight="0" fitToWidth="1"/>
  <headerFooter>
    <oddHeader/>
    <oddFooter>&amp;LFBH überschlägige Auslegung&amp;CSeite &amp;P von &amp;N&amp;RStand &amp;D</oddFooter>
    <evenHeader/>
    <evenFooter/>
    <firstHeader/>
    <firstFooter/>
  </headerFooter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AK206"/>
  <sheetViews>
    <sheetView showGridLines="0" workbookViewId="0">
      <pane xSplit="2" ySplit="6" topLeftCell="C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1" customWidth="1" min="2" max="2"/>
    <col width="16" customWidth="1" min="3" max="3"/>
    <col width="8" customWidth="1" min="4" max="4"/>
    <col width="11" customWidth="1" min="5" max="5"/>
    <col width="9" customWidth="1" min="6" max="6"/>
    <col width="10" customWidth="1" min="7" max="7"/>
    <col width="9" customWidth="1" min="8" max="8"/>
    <col width="11" customWidth="1" min="9" max="9"/>
    <col width="9" customWidth="1" min="10" max="10"/>
    <col width="8" customWidth="1" min="11" max="11"/>
    <col width="11" customWidth="1" min="12" max="12"/>
    <col width="6" customWidth="1" min="13" max="13"/>
    <col hidden="1" width="12" customWidth="1" min="14" max="14"/>
    <col hidden="1" width="11" customWidth="1" min="15" max="15"/>
    <col hidden="1" width="11" customWidth="1" min="16" max="16"/>
    <col width="11" customWidth="1" min="17" max="17"/>
    <col width="11" customWidth="1" min="18" max="18"/>
    <col hidden="1" width="11" customWidth="1" min="19" max="19"/>
    <col width="9" customWidth="1" min="20" max="20"/>
    <col hidden="1" width="12" customWidth="1" min="21" max="21"/>
    <col width="8" customWidth="1" min="22" max="22"/>
    <col hidden="1" width="11" customWidth="1" min="23" max="23"/>
    <col hidden="1" width="12" customWidth="1" min="24" max="24"/>
    <col hidden="1" width="11" customWidth="1" min="25" max="25"/>
    <col hidden="1" width="11" customWidth="1" min="26" max="26"/>
    <col hidden="1" width="11" customWidth="1" min="27" max="27"/>
    <col width="9" customWidth="1" min="28" max="28"/>
    <col hidden="1" width="11" customWidth="1" min="29" max="29"/>
    <col width="10" customWidth="1" min="30" max="30"/>
    <col width="10" customWidth="1" min="31" max="31"/>
    <col hidden="1" width="11" customWidth="1" min="32" max="32"/>
    <col hidden="1" width="12" customWidth="1" min="33" max="33"/>
    <col hidden="1" width="11" customWidth="1" min="34" max="34"/>
    <col hidden="1" width="11" customWidth="1" min="35" max="35"/>
    <col hidden="1" width="12" customWidth="1" min="36" max="36"/>
    <col width="10" customWidth="1" min="37" max="37"/>
  </cols>
  <sheetData>
    <row r="1" ht="32" customHeight="1">
      <c r="A1" s="45" t="inlineStr">
        <is>
          <t>Fußbodenheizung – Auslegung (DIN EN 1264)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</row>
    <row r="2">
      <c r="A2" s="46">
        <f>"Projekt-Nr.  "&amp;'Grundeinstellungen'!$C$2&amp;"        Projekt  "&amp;'Grundeinstellungen'!$C$3</f>
        <v/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47">
        <f>"Bearbeiter  "&amp;'Grundeinstellungen'!$M$2</f>
        <v/>
      </c>
    </row>
    <row r="3" ht="8" customHeight="1">
      <c r="A3" s="48" t="n"/>
      <c r="B3" s="48" t="n"/>
      <c r="C3" s="48" t="n"/>
      <c r="D3" s="48" t="n"/>
      <c r="E3" s="48" t="n"/>
      <c r="F3" s="48" t="n"/>
      <c r="G3" s="48" t="n"/>
      <c r="H3" s="48" t="n"/>
      <c r="I3" s="48" t="n"/>
      <c r="J3" s="48" t="n"/>
      <c r="K3" s="48" t="n"/>
      <c r="L3" s="48" t="n"/>
      <c r="M3" s="48" t="n"/>
      <c r="N3" s="48" t="n"/>
      <c r="O3" s="48" t="n"/>
      <c r="P3" s="48" t="n"/>
      <c r="Q3" s="48" t="n"/>
      <c r="R3" s="48" t="n"/>
      <c r="S3" s="48" t="n"/>
      <c r="T3" s="48" t="n"/>
      <c r="U3" s="48" t="n"/>
      <c r="V3" s="48" t="n"/>
      <c r="W3" s="48" t="n"/>
      <c r="X3" s="48" t="n"/>
      <c r="Y3" s="48" t="n"/>
      <c r="Z3" s="48" t="n"/>
      <c r="AA3" s="48" t="n"/>
      <c r="AB3" s="48" t="n"/>
      <c r="AC3" s="48" t="n"/>
      <c r="AD3" s="48" t="n"/>
      <c r="AE3" s="48" t="n"/>
      <c r="AF3" s="48" t="n"/>
      <c r="AG3" s="48" t="n"/>
      <c r="AH3" s="48" t="n"/>
      <c r="AI3" s="48" t="n"/>
      <c r="AJ3" s="48" t="n"/>
      <c r="AK3" s="48" t="n"/>
    </row>
    <row r="4" ht="46" customHeight="1">
      <c r="A4" s="49" t="inlineStr">
        <is>
          <t>Heizkreis-
verteiler</t>
        </is>
      </c>
      <c r="B4" s="49" t="inlineStr">
        <is>
          <t>Raum-Nr.</t>
        </is>
      </c>
      <c r="C4" s="49" t="inlineStr">
        <is>
          <t>Raum-
bezeichnung</t>
        </is>
      </c>
      <c r="D4" s="49" t="inlineStr">
        <is>
          <t>Raum-fläche</t>
        </is>
      </c>
      <c r="E4" s="49" t="inlineStr">
        <is>
          <t>Raum-
temperatur</t>
        </is>
      </c>
      <c r="F4" s="49" t="inlineStr">
        <is>
          <t>Heizlast</t>
        </is>
      </c>
      <c r="G4" s="49" t="inlineStr">
        <is>
          <t>spez. Heizlast</t>
        </is>
      </c>
      <c r="H4" s="49" t="inlineStr">
        <is>
          <t>aktivier-
bare Fläche</t>
        </is>
      </c>
      <c r="I4" s="49" t="inlineStr">
        <is>
          <t>R-Wert
Bodenbelag</t>
        </is>
      </c>
      <c r="J4" s="49" t="inlineStr">
        <is>
          <t>Verlege–abstand</t>
        </is>
      </c>
      <c r="K4" s="49" t="inlineStr">
        <is>
          <t>Anz.
HK</t>
        </is>
      </c>
      <c r="L4" s="49" t="inlineStr">
        <is>
          <t>Zuleitungs-
länge</t>
        </is>
      </c>
      <c r="M4" s="49" t="inlineStr">
        <is>
          <t>Zone</t>
        </is>
      </c>
      <c r="N4" s="49" t="inlineStr">
        <is>
          <t>log. Übertemperatur</t>
        </is>
      </c>
      <c r="O4" s="49" t="inlineStr">
        <is>
          <t>Bodenbelag-Faktor</t>
        </is>
      </c>
      <c r="P4" s="49" t="inlineStr">
        <is>
          <t>Teilungs-
faktor</t>
        </is>
      </c>
      <c r="Q4" s="49" t="inlineStr">
        <is>
          <t>spez. Heiz-
leistung</t>
        </is>
      </c>
      <c r="R4" s="49" t="inlineStr">
        <is>
          <t>Ober-
flächen-
temperatur</t>
        </is>
      </c>
      <c r="S4" s="49" t="inlineStr">
        <is>
          <t>max. Oberflächentemp.</t>
        </is>
      </c>
      <c r="T4" s="49" t="inlineStr">
        <is>
          <t>Leistung
FBH</t>
        </is>
      </c>
      <c r="U4" s="49" t="inlineStr">
        <is>
          <t>Über-/Unter-
deckung</t>
        </is>
      </c>
      <c r="V4" s="49" t="inlineStr">
        <is>
          <t>Deckung</t>
        </is>
      </c>
      <c r="W4" s="49" t="inlineStr">
        <is>
          <t>Verlust nach unten</t>
        </is>
      </c>
      <c r="X4" s="49" t="inlineStr">
        <is>
          <t>maßgebl. Leistung</t>
        </is>
      </c>
      <c r="Y4" s="49" t="inlineStr">
        <is>
          <t>Rohrlänge Fläche</t>
        </is>
      </c>
      <c r="Z4" s="49" t="inlineStr">
        <is>
          <t>Rohrlänge Zuleitung</t>
        </is>
      </c>
      <c r="AA4" s="49" t="inlineStr">
        <is>
          <t>Rohrlänge gesamt</t>
        </is>
      </c>
      <c r="AB4" s="49" t="inlineStr">
        <is>
          <t>Rohrlänge je Kreis</t>
        </is>
      </c>
      <c r="AC4" s="49" t="inlineStr">
        <is>
          <t>Massenstrom je Kreis</t>
        </is>
      </c>
      <c r="AD4" s="49" t="inlineStr">
        <is>
          <t>Volumen-strom je Kreis</t>
        </is>
      </c>
      <c r="AE4" s="49" t="inlineStr">
        <is>
          <t>Geschwin-digkeit</t>
        </is>
      </c>
      <c r="AF4" s="49" t="inlineStr">
        <is>
          <t>Reynolds-Zahl</t>
        </is>
      </c>
      <c r="AG4" s="49" t="inlineStr">
        <is>
          <t>Strömungsbereich</t>
        </is>
      </c>
      <c r="AH4" s="49" t="inlineStr">
        <is>
          <t>Rohrreibungszahl</t>
        </is>
      </c>
      <c r="AI4" s="49" t="inlineStr">
        <is>
          <t>Δp Reibung</t>
        </is>
      </c>
      <c r="AJ4" s="49" t="inlineStr">
        <is>
          <t>spez. Druckverlust</t>
        </is>
      </c>
      <c r="AK4" s="49" t="inlineStr">
        <is>
          <t>Druck-
verlust</t>
        </is>
      </c>
    </row>
    <row r="5" ht="20" customHeight="1">
      <c r="A5" s="5" t="inlineStr">
        <is>
          <t>HKV</t>
        </is>
      </c>
      <c r="B5" s="5" t="inlineStr"/>
      <c r="C5" s="5" t="inlineStr"/>
      <c r="D5" s="5" t="inlineStr">
        <is>
          <r>
            <t>A</t>
          </r>
          <r>
            <rPr>
              <rFont val="Arial"/>
              <b val="1"/>
              <color rgb="00000000"/>
              <sz val="13"/>
              <vertAlign val="subscript"/>
            </rPr>
            <t>R</t>
          </r>
        </is>
      </c>
      <c r="E5" s="5" t="inlineStr">
        <is>
          <t>θi</t>
        </is>
      </c>
      <c r="F5" s="5" t="inlineStr">
        <is>
          <t>Q</t>
        </is>
      </c>
      <c r="G5" s="5" t="inlineStr">
        <is>
          <r>
            <t>q</t>
          </r>
          <r>
            <rPr>
              <rFont val="Arial"/>
              <b val="1"/>
              <color rgb="00000000"/>
              <sz val="13"/>
              <vertAlign val="subscript"/>
            </rPr>
            <t>HL</t>
          </r>
        </is>
      </c>
      <c r="H5" s="5" t="inlineStr">
        <is>
          <r>
            <t>A</t>
          </r>
          <r>
            <rPr>
              <rFont val="Arial"/>
              <b val="1"/>
              <color rgb="00000000"/>
              <sz val="13"/>
              <vertAlign val="subscript"/>
            </rPr>
            <t>F</t>
          </r>
        </is>
      </c>
      <c r="I5" s="5" t="inlineStr">
        <is>
          <r>
            <t>R</t>
          </r>
          <r>
            <rPr>
              <rFont val="Arial"/>
              <b val="1"/>
              <color rgb="00000000"/>
              <sz val="13"/>
              <vertAlign val="subscript"/>
            </rPr>
            <t>λ,B</t>
          </r>
        </is>
      </c>
      <c r="J5" s="5" t="inlineStr">
        <is>
          <t>VA</t>
        </is>
      </c>
      <c r="K5" s="5" t="inlineStr">
        <is>
          <t>n</t>
        </is>
      </c>
      <c r="L5" s="5" t="inlineStr">
        <is>
          <r>
            <t>L</t>
          </r>
          <r>
            <rPr>
              <rFont val="Arial"/>
              <b val="1"/>
              <color rgb="00000000"/>
              <sz val="13"/>
              <vertAlign val="subscript"/>
            </rPr>
            <t>zu</t>
          </r>
        </is>
      </c>
      <c r="M5" s="5" t="inlineStr"/>
      <c r="N5" s="5" t="inlineStr">
        <is>
          <t>ΔθH</t>
        </is>
      </c>
      <c r="O5" s="5" t="inlineStr">
        <is>
          <r>
            <t>a</t>
          </r>
          <r>
            <rPr>
              <rFont val="Arial"/>
              <b val="1"/>
              <color rgb="00000000"/>
              <sz val="13"/>
              <vertAlign val="subscript"/>
            </rPr>
            <t>B</t>
          </r>
        </is>
      </c>
      <c r="P5" s="5" t="inlineStr">
        <is>
          <r>
            <t>a</t>
          </r>
          <r>
            <rPr>
              <rFont val="Arial"/>
              <b val="1"/>
              <color rgb="00000000"/>
              <sz val="13"/>
              <vertAlign val="subscript"/>
            </rPr>
            <t>T</t>
          </r>
        </is>
      </c>
      <c r="Q5" s="5" t="inlineStr">
        <is>
          <t>q</t>
        </is>
      </c>
      <c r="R5" s="5" t="inlineStr">
        <is>
          <t>θF</t>
        </is>
      </c>
      <c r="S5" s="5" t="inlineStr">
        <is>
          <t>θF,max</t>
        </is>
      </c>
      <c r="T5" s="5" t="inlineStr">
        <is>
          <r>
            <t>Q</t>
          </r>
          <r>
            <rPr>
              <rFont val="Arial"/>
              <b val="1"/>
              <color rgb="00000000"/>
              <sz val="13"/>
              <vertAlign val="subscript"/>
            </rPr>
            <t>o</t>
          </r>
        </is>
      </c>
      <c r="U5" s="5" t="inlineStr">
        <is>
          <t>ΔQ</t>
        </is>
      </c>
      <c r="V5" s="5" t="inlineStr"/>
      <c r="W5" s="5" t="inlineStr">
        <is>
          <r>
            <t>Q</t>
          </r>
          <r>
            <rPr>
              <rFont val="Arial"/>
              <b val="1"/>
              <color rgb="00000000"/>
              <sz val="13"/>
              <vertAlign val="subscript"/>
            </rPr>
            <t>u</t>
          </r>
        </is>
      </c>
      <c r="X5" s="5" t="inlineStr">
        <is>
          <r>
            <t>Q</t>
          </r>
          <r>
            <rPr>
              <rFont val="Arial"/>
              <b val="1"/>
              <color rgb="00000000"/>
              <sz val="13"/>
              <vertAlign val="subscript"/>
            </rPr>
            <t>m</t>
          </r>
        </is>
      </c>
      <c r="Y5" s="5" t="inlineStr">
        <is>
          <r>
            <t>L</t>
          </r>
          <r>
            <rPr>
              <rFont val="Arial"/>
              <b val="1"/>
              <color rgb="00000000"/>
              <sz val="13"/>
              <vertAlign val="subscript"/>
            </rPr>
            <t>F</t>
          </r>
        </is>
      </c>
      <c r="Z5" s="5" t="inlineStr">
        <is>
          <r>
            <t>L</t>
          </r>
          <r>
            <rPr>
              <rFont val="Arial"/>
              <b val="1"/>
              <color rgb="00000000"/>
              <sz val="13"/>
              <vertAlign val="subscript"/>
            </rPr>
            <t>Z</t>
          </r>
        </is>
      </c>
      <c r="AA5" s="5" t="inlineStr">
        <is>
          <r>
            <t>L</t>
          </r>
          <r>
            <rPr>
              <rFont val="Arial"/>
              <b val="1"/>
              <color rgb="00000000"/>
              <sz val="13"/>
              <vertAlign val="subscript"/>
            </rPr>
            <t>ges</t>
          </r>
        </is>
      </c>
      <c r="AB5" s="5" t="inlineStr">
        <is>
          <r>
            <t>L</t>
          </r>
          <r>
            <rPr>
              <rFont val="Arial"/>
              <b val="1"/>
              <color rgb="00000000"/>
              <sz val="13"/>
              <vertAlign val="subscript"/>
            </rPr>
            <t>K</t>
          </r>
        </is>
      </c>
      <c r="AC5" s="5" t="inlineStr">
        <is>
          <t>ṁ</t>
        </is>
      </c>
      <c r="AD5" s="5" t="inlineStr">
        <is>
          <t>V̇</t>
        </is>
      </c>
      <c r="AE5" s="5" t="inlineStr">
        <is>
          <t>v</t>
        </is>
      </c>
      <c r="AF5" s="5" t="inlineStr">
        <is>
          <t>Re</t>
        </is>
      </c>
      <c r="AG5" s="5" t="inlineStr"/>
      <c r="AH5" s="5" t="inlineStr">
        <is>
          <t>λ</t>
        </is>
      </c>
      <c r="AI5" s="5" t="inlineStr">
        <is>
          <r>
            <t>Δp</t>
          </r>
          <r>
            <rPr>
              <rFont val="Arial"/>
              <b val="1"/>
              <color rgb="00000000"/>
              <sz val="13"/>
              <vertAlign val="subscript"/>
            </rPr>
            <t>R</t>
          </r>
        </is>
      </c>
      <c r="AJ5" s="5" t="inlineStr">
        <is>
          <t>R</t>
        </is>
      </c>
      <c r="AK5" s="5" t="inlineStr">
        <is>
          <t>Δp</t>
        </is>
      </c>
    </row>
    <row r="6" ht="14" customHeight="1">
      <c r="A6" s="50" t="inlineStr"/>
      <c r="B6" s="50" t="inlineStr"/>
      <c r="C6" s="50" t="inlineStr"/>
      <c r="D6" s="50" t="inlineStr">
        <is>
          <t>[m²]</t>
        </is>
      </c>
      <c r="E6" s="50" t="inlineStr">
        <is>
          <t>[°C]</t>
        </is>
      </c>
      <c r="F6" s="50" t="inlineStr">
        <is>
          <t>[W]</t>
        </is>
      </c>
      <c r="G6" s="50" t="inlineStr">
        <is>
          <t>[W/m²]</t>
        </is>
      </c>
      <c r="H6" s="50" t="inlineStr">
        <is>
          <t>[m²]</t>
        </is>
      </c>
      <c r="I6" s="50" t="inlineStr">
        <is>
          <t>[m²·K/W]</t>
        </is>
      </c>
      <c r="J6" s="50" t="inlineStr">
        <is>
          <t>[mm]</t>
        </is>
      </c>
      <c r="K6" s="50" t="inlineStr">
        <is>
          <t>[-]</t>
        </is>
      </c>
      <c r="L6" s="50" t="inlineStr">
        <is>
          <t>[m]</t>
        </is>
      </c>
      <c r="M6" s="50" t="inlineStr"/>
      <c r="N6" s="50" t="inlineStr">
        <is>
          <t>[K]</t>
        </is>
      </c>
      <c r="O6" s="50" t="inlineStr">
        <is>
          <t>[-]</t>
        </is>
      </c>
      <c r="P6" s="50" t="inlineStr">
        <is>
          <t>[-]</t>
        </is>
      </c>
      <c r="Q6" s="50" t="inlineStr">
        <is>
          <t>[W/m²]</t>
        </is>
      </c>
      <c r="R6" s="50" t="inlineStr">
        <is>
          <t>[°C]</t>
        </is>
      </c>
      <c r="S6" s="50" t="inlineStr">
        <is>
          <t>[°C]</t>
        </is>
      </c>
      <c r="T6" s="50" t="inlineStr">
        <is>
          <t>[W]</t>
        </is>
      </c>
      <c r="U6" s="50" t="inlineStr">
        <is>
          <t>[W]</t>
        </is>
      </c>
      <c r="V6" s="50" t="inlineStr">
        <is>
          <t>[%]</t>
        </is>
      </c>
      <c r="W6" s="50" t="inlineStr">
        <is>
          <t>[W]</t>
        </is>
      </c>
      <c r="X6" s="50" t="inlineStr">
        <is>
          <t>[W]</t>
        </is>
      </c>
      <c r="Y6" s="50" t="inlineStr">
        <is>
          <t>[m]</t>
        </is>
      </c>
      <c r="Z6" s="50" t="inlineStr">
        <is>
          <t>[m]</t>
        </is>
      </c>
      <c r="AA6" s="50" t="inlineStr">
        <is>
          <t>[m]</t>
        </is>
      </c>
      <c r="AB6" s="50" t="inlineStr">
        <is>
          <t>[m]</t>
        </is>
      </c>
      <c r="AC6" s="50" t="inlineStr">
        <is>
          <t>[kg/h]</t>
        </is>
      </c>
      <c r="AD6" s="50" t="inlineStr">
        <is>
          <t>[l/h]</t>
        </is>
      </c>
      <c r="AE6" s="50" t="inlineStr">
        <is>
          <t>[m/s]</t>
        </is>
      </c>
      <c r="AF6" s="50" t="inlineStr">
        <is>
          <t>[-]</t>
        </is>
      </c>
      <c r="AG6" s="50" t="inlineStr">
        <is>
          <t>[-]</t>
        </is>
      </c>
      <c r="AH6" s="50" t="inlineStr">
        <is>
          <t>[-]</t>
        </is>
      </c>
      <c r="AI6" s="50" t="inlineStr">
        <is>
          <t>[Pa]</t>
        </is>
      </c>
      <c r="AJ6" s="50" t="inlineStr">
        <is>
          <t>[Pa/m]</t>
        </is>
      </c>
      <c r="AK6" s="50" t="inlineStr">
        <is>
          <t>[Pa]</t>
        </is>
      </c>
    </row>
    <row r="7">
      <c r="A7" s="51" t="inlineStr">
        <is>
          <t>HKV EG</t>
        </is>
      </c>
      <c r="B7" s="51" t="inlineStr">
        <is>
          <t>001</t>
        </is>
      </c>
      <c r="C7" s="51" t="inlineStr">
        <is>
          <t>Foyer/Empfang</t>
        </is>
      </c>
      <c r="D7" s="52" t="n">
        <v>40</v>
      </c>
      <c r="E7" s="53" t="n">
        <v>20</v>
      </c>
      <c r="F7" s="54" t="n">
        <v>1800</v>
      </c>
      <c r="G7" s="55">
        <f>IF($B7="","",IFERROR($F7/$D7,""))</f>
        <v/>
      </c>
      <c r="H7" s="52" t="n">
        <v>36</v>
      </c>
      <c r="I7" s="56" t="n">
        <v>0</v>
      </c>
      <c r="J7" s="57" t="n">
        <v>100</v>
      </c>
      <c r="K7" s="58" t="n">
        <v>3</v>
      </c>
      <c r="L7" s="59" t="n">
        <v>6</v>
      </c>
      <c r="M7" s="60" t="inlineStr">
        <is>
          <t>RZ</t>
        </is>
      </c>
      <c r="N7" s="61">
        <f>IF($B7="","",IFERROR(('Grundeinstellungen'!$C$6-'Grundeinstellungen'!$C$7)/LN(('Grundeinstellungen'!$C$6-$E7)/('Grundeinstellungen'!$C$7-$E7)),""))</f>
        <v/>
      </c>
      <c r="O7" s="62">
        <f>IF($B7="","",IFERROR(IFERROR(INDEX('Konstanten'!$B$6:$B$10,MATCH($I7,'Konstanten'!$A$6:$A$10,1))+($I7-INDEX('Konstanten'!$A$6:$A$10,MATCH($I7,'Konstanten'!$A$6:$A$10,1)))/(INDEX('Konstanten'!$A$6:$A$10,MATCH($I7,'Konstanten'!$A$6:$A$10,1)+1)-INDEX('Konstanten'!$A$6:$A$10,MATCH($I7,'Konstanten'!$A$6:$A$10,1)))*(INDEX('Konstanten'!$B$6:$B$10,MATCH($I7,'Konstanten'!$A$6:$A$10,1)+1)-INDEX('Konstanten'!$B$6:$B$10,MATCH($I7,'Konstanten'!$A$6:$A$10,1))),INDEX('Konstanten'!$B$6:$B$10,MATCH($I7,'Konstanten'!$A$6:$A$10,1))),""))</f>
        <v/>
      </c>
      <c r="P7" s="62">
        <f>IF($B7="","",IFERROR(IFERROR(INDEX('Konstanten'!$C$6:$C$10,MATCH($I7,'Konstanten'!$A$6:$A$10,1))+($I7-INDEX('Konstanten'!$A$6:$A$10,MATCH($I7,'Konstanten'!$A$6:$A$10,1)))/(INDEX('Konstanten'!$A$6:$A$10,MATCH($I7,'Konstanten'!$A$6:$A$10,1)+1)-INDEX('Konstanten'!$A$6:$A$10,MATCH($I7,'Konstanten'!$A$6:$A$10,1)))*(INDEX('Konstanten'!$C$6:$C$10,MATCH($I7,'Konstanten'!$A$6:$A$10,1)+1)-INDEX('Konstanten'!$C$6:$C$10,MATCH($I7,'Konstanten'!$A$6:$A$10,1))),INDEX('Konstanten'!$C$6:$C$10,MATCH($I7,'Konstanten'!$A$6:$A$10,1))),""))</f>
        <v/>
      </c>
      <c r="Q7" s="63">
        <f>IF(OR($B7="",$N7="",$O7="",$P7=""),"",'Konstanten'!$C$13*$O7*$P7^(1-($J7/1000)/0.075)*'Konstanten'!$C$14^'Konstanten'!$C$16*'Konstanten'!$C$15^'Konstanten'!$C$17*$N7)</f>
        <v/>
      </c>
      <c r="R7" s="64">
        <f>IF(OR($B7="",$Q7=""),"",$E7+$Q7/'Grundeinstellungen'!$J$6)</f>
        <v/>
      </c>
      <c r="S7" s="64">
        <f>IF($B7="","",IFERROR(VLOOKUP($M7,'Konstanten'!$H$6:$I$13,2,FALSE),29))</f>
        <v/>
      </c>
      <c r="T7" s="65">
        <f>IF(OR($B7="",$Q7=""),"",$Q7*$H7)</f>
        <v/>
      </c>
      <c r="U7" s="66">
        <f>IF(OR($B7="",$T7=""),"",$T7-$F7)</f>
        <v/>
      </c>
      <c r="V7" s="67">
        <f>IF(OR($B7="",$T7=""),"",IFERROR($T7/$F7,""))</f>
        <v/>
      </c>
      <c r="W7" s="65">
        <f>IF(OR($B7="",$H7=""),"",'Grundeinstellungen'!$J$13*$H7)</f>
        <v/>
      </c>
      <c r="X7" s="65">
        <f>IF(OR($B7="",$T7=""),"",MIN($T7,$F7)+$W7)</f>
        <v/>
      </c>
      <c r="Y7" s="68">
        <f>IF($B7="","",IFERROR($H7/($J7/1000),""))</f>
        <v/>
      </c>
      <c r="Z7" s="68">
        <f>IF($B7="","",IFERROR(2*$L7*$K7,""))</f>
        <v/>
      </c>
      <c r="AA7" s="68">
        <f>IF(OR($B7="",$Y7="",$Z7=""),"",$Y7+$Z7)</f>
        <v/>
      </c>
      <c r="AB7" s="68">
        <f>IF(OR($B7="",$AA7=""),"",IFERROR($AA7/$K7,""))</f>
        <v/>
      </c>
      <c r="AC7" s="69">
        <f>IF(OR($B7="",$X7=""),"",IFERROR(($X7/$K7)/('Grundeinstellungen'!$C$16*('Grundeinstellungen'!$C$6-'Grundeinstellungen'!$C$7))*3600,""))</f>
        <v/>
      </c>
      <c r="AD7" s="70">
        <f>IF(OR($B7="",$AC7=""),"",$AC7/'Grundeinstellungen'!$C$15*1000)</f>
        <v/>
      </c>
      <c r="AE7" s="71">
        <f>IF(OR($B7="",$AC7=""),"",IFERROR($AC7/3600/'Grundeinstellungen'!$C$15/'Grundeinstellungen'!$J$22,""))</f>
        <v/>
      </c>
      <c r="AF7" s="72">
        <f>IF(OR($B7="",$AE7=""),"",IFERROR($AE7*'Grundeinstellungen'!$J$21/'Grundeinstellungen'!$C$17,""))</f>
        <v/>
      </c>
      <c r="AG7" s="73">
        <f>IF(OR($B7="",$AF7=""),"",IF($AF7&lt;2300,"laminar",IF($AF7&lt;4000,"Übergangsbereich","turbulent")))</f>
        <v/>
      </c>
      <c r="AH7" s="74">
        <f>IF(OR($B7="",$AF7=""),"",IF($AF7&lt;2300,64/$AF7,0.316/$AF7^0.25))</f>
        <v/>
      </c>
      <c r="AI7" s="75">
        <f>IF(OR($B7="",$AH7="",$AB7=""),"",IFERROR($AH7*($AB7/'Grundeinstellungen'!$J$21)*('Grundeinstellungen'!$C$15/2)*$AE7^2,""))</f>
        <v/>
      </c>
      <c r="AJ7" s="76">
        <f>IF(OR($B7="",$AI7="",$AB7=""),"",IFERROR($AI7/$AB7,""))</f>
        <v/>
      </c>
      <c r="AK7" s="75">
        <f>IF(OR($B7="",$AI7=""),"",$AI7*(1+'Grundeinstellungen'!$C$24)+'Grundeinstellungen'!$C$25)</f>
        <v/>
      </c>
    </row>
    <row r="8">
      <c r="A8" s="51" t="inlineStr">
        <is>
          <t>HKV EG</t>
        </is>
      </c>
      <c r="B8" s="51" t="inlineStr">
        <is>
          <t>002</t>
        </is>
      </c>
      <c r="C8" s="51" t="inlineStr">
        <is>
          <t>Großraumbüro</t>
        </is>
      </c>
      <c r="D8" s="52" t="n">
        <v>60</v>
      </c>
      <c r="E8" s="53" t="n">
        <v>20</v>
      </c>
      <c r="F8" s="54" t="n">
        <v>2400</v>
      </c>
      <c r="G8" s="55">
        <f>IF($B8="","",IFERROR($F8/$D8,""))</f>
        <v/>
      </c>
      <c r="H8" s="52" t="n">
        <v>55</v>
      </c>
      <c r="I8" s="56" t="n">
        <v>0.1</v>
      </c>
      <c r="J8" s="57" t="n">
        <v>150</v>
      </c>
      <c r="K8" s="58" t="n">
        <v>4</v>
      </c>
      <c r="L8" s="59" t="n">
        <v>8</v>
      </c>
      <c r="M8" s="60" t="inlineStr">
        <is>
          <t>AZ</t>
        </is>
      </c>
      <c r="N8" s="61">
        <f>IF($B8="","",IFERROR(('Grundeinstellungen'!$C$6-'Grundeinstellungen'!$C$7)/LN(('Grundeinstellungen'!$C$6-$E8)/('Grundeinstellungen'!$C$7-$E8)),""))</f>
        <v/>
      </c>
      <c r="O8" s="62">
        <f>IF($B8="","",IFERROR(IFERROR(INDEX('Konstanten'!$B$6:$B$10,MATCH($I8,'Konstanten'!$A$6:$A$10,1))+($I8-INDEX('Konstanten'!$A$6:$A$10,MATCH($I8,'Konstanten'!$A$6:$A$10,1)))/(INDEX('Konstanten'!$A$6:$A$10,MATCH($I8,'Konstanten'!$A$6:$A$10,1)+1)-INDEX('Konstanten'!$A$6:$A$10,MATCH($I8,'Konstanten'!$A$6:$A$10,1)))*(INDEX('Konstanten'!$B$6:$B$10,MATCH($I8,'Konstanten'!$A$6:$A$10,1)+1)-INDEX('Konstanten'!$B$6:$B$10,MATCH($I8,'Konstanten'!$A$6:$A$10,1))),INDEX('Konstanten'!$B$6:$B$10,MATCH($I8,'Konstanten'!$A$6:$A$10,1))),""))</f>
        <v/>
      </c>
      <c r="P8" s="62">
        <f>IF($B8="","",IFERROR(IFERROR(INDEX('Konstanten'!$C$6:$C$10,MATCH($I8,'Konstanten'!$A$6:$A$10,1))+($I8-INDEX('Konstanten'!$A$6:$A$10,MATCH($I8,'Konstanten'!$A$6:$A$10,1)))/(INDEX('Konstanten'!$A$6:$A$10,MATCH($I8,'Konstanten'!$A$6:$A$10,1)+1)-INDEX('Konstanten'!$A$6:$A$10,MATCH($I8,'Konstanten'!$A$6:$A$10,1)))*(INDEX('Konstanten'!$C$6:$C$10,MATCH($I8,'Konstanten'!$A$6:$A$10,1)+1)-INDEX('Konstanten'!$C$6:$C$10,MATCH($I8,'Konstanten'!$A$6:$A$10,1))),INDEX('Konstanten'!$C$6:$C$10,MATCH($I8,'Konstanten'!$A$6:$A$10,1))),""))</f>
        <v/>
      </c>
      <c r="Q8" s="63">
        <f>IF(OR($B8="",$N8="",$O8="",$P8=""),"",'Konstanten'!$C$13*$O8*$P8^(1-($J8/1000)/0.075)*'Konstanten'!$C$14^'Konstanten'!$C$16*'Konstanten'!$C$15^'Konstanten'!$C$17*$N8)</f>
        <v/>
      </c>
      <c r="R8" s="64">
        <f>IF(OR($B8="",$Q8=""),"",$E8+$Q8/'Grundeinstellungen'!$J$6)</f>
        <v/>
      </c>
      <c r="S8" s="64">
        <f>IF($B8="","",IFERROR(VLOOKUP($M8,'Konstanten'!$H$6:$I$13,2,FALSE),29))</f>
        <v/>
      </c>
      <c r="T8" s="65">
        <f>IF(OR($B8="",$Q8=""),"",$Q8*$H8)</f>
        <v/>
      </c>
      <c r="U8" s="66">
        <f>IF(OR($B8="",$T8=""),"",$T8-$F8)</f>
        <v/>
      </c>
      <c r="V8" s="67">
        <f>IF(OR($B8="",$T8=""),"",IFERROR($T8/$F8,""))</f>
        <v/>
      </c>
      <c r="W8" s="65">
        <f>IF(OR($B8="",$H8=""),"",'Grundeinstellungen'!$J$13*$H8)</f>
        <v/>
      </c>
      <c r="X8" s="65">
        <f>IF(OR($B8="",$T8=""),"",MIN($T8,$F8)+$W8)</f>
        <v/>
      </c>
      <c r="Y8" s="68">
        <f>IF($B8="","",IFERROR($H8/($J8/1000),""))</f>
        <v/>
      </c>
      <c r="Z8" s="68">
        <f>IF($B8="","",IFERROR(2*$L8*$K8,""))</f>
        <v/>
      </c>
      <c r="AA8" s="68">
        <f>IF(OR($B8="",$Y8="",$Z8=""),"",$Y8+$Z8)</f>
        <v/>
      </c>
      <c r="AB8" s="68">
        <f>IF(OR($B8="",$AA8=""),"",IFERROR($AA8/$K8,""))</f>
        <v/>
      </c>
      <c r="AC8" s="69">
        <f>IF(OR($B8="",$X8=""),"",IFERROR(($X8/$K8)/('Grundeinstellungen'!$C$16*('Grundeinstellungen'!$C$6-'Grundeinstellungen'!$C$7))*3600,""))</f>
        <v/>
      </c>
      <c r="AD8" s="70">
        <f>IF(OR($B8="",$AC8=""),"",$AC8/'Grundeinstellungen'!$C$15*1000)</f>
        <v/>
      </c>
      <c r="AE8" s="71">
        <f>IF(OR($B8="",$AC8=""),"",IFERROR($AC8/3600/'Grundeinstellungen'!$C$15/'Grundeinstellungen'!$J$22,""))</f>
        <v/>
      </c>
      <c r="AF8" s="72">
        <f>IF(OR($B8="",$AE8=""),"",IFERROR($AE8*'Grundeinstellungen'!$J$21/'Grundeinstellungen'!$C$17,""))</f>
        <v/>
      </c>
      <c r="AG8" s="73">
        <f>IF(OR($B8="",$AF8=""),"",IF($AF8&lt;2300,"laminar",IF($AF8&lt;4000,"Übergangsbereich","turbulent")))</f>
        <v/>
      </c>
      <c r="AH8" s="74">
        <f>IF(OR($B8="",$AF8=""),"",IF($AF8&lt;2300,64/$AF8,0.316/$AF8^0.25))</f>
        <v/>
      </c>
      <c r="AI8" s="75">
        <f>IF(OR($B8="",$AH8="",$AB8=""),"",IFERROR($AH8*($AB8/'Grundeinstellungen'!$J$21)*('Grundeinstellungen'!$C$15/2)*$AE8^2,""))</f>
        <v/>
      </c>
      <c r="AJ8" s="76">
        <f>IF(OR($B8="",$AI8="",$AB8=""),"",IFERROR($AI8/$AB8,""))</f>
        <v/>
      </c>
      <c r="AK8" s="75">
        <f>IF(OR($B8="",$AI8=""),"",$AI8*(1+'Grundeinstellungen'!$C$24)+'Grundeinstellungen'!$C$25)</f>
        <v/>
      </c>
    </row>
    <row r="9">
      <c r="A9" s="51" t="inlineStr">
        <is>
          <t>HKV EG</t>
        </is>
      </c>
      <c r="B9" s="51" t="inlineStr">
        <is>
          <t>003</t>
        </is>
      </c>
      <c r="C9" s="51" t="inlineStr">
        <is>
          <t>Büro 1</t>
        </is>
      </c>
      <c r="D9" s="52" t="n">
        <v>18</v>
      </c>
      <c r="E9" s="53" t="n">
        <v>20</v>
      </c>
      <c r="F9" s="54" t="n">
        <v>630</v>
      </c>
      <c r="G9" s="55">
        <f>IF($B9="","",IFERROR($F9/$D9,""))</f>
        <v/>
      </c>
      <c r="H9" s="52" t="n">
        <v>16</v>
      </c>
      <c r="I9" s="56" t="n">
        <v>0.1</v>
      </c>
      <c r="J9" s="57" t="n">
        <v>150</v>
      </c>
      <c r="K9" s="58" t="n">
        <v>1</v>
      </c>
      <c r="L9" s="59" t="n">
        <v>5</v>
      </c>
      <c r="M9" s="60" t="inlineStr">
        <is>
          <t>AZ</t>
        </is>
      </c>
      <c r="N9" s="61">
        <f>IF($B9="","",IFERROR(('Grundeinstellungen'!$C$6-'Grundeinstellungen'!$C$7)/LN(('Grundeinstellungen'!$C$6-$E9)/('Grundeinstellungen'!$C$7-$E9)),""))</f>
        <v/>
      </c>
      <c r="O9" s="62">
        <f>IF($B9="","",IFERROR(IFERROR(INDEX('Konstanten'!$B$6:$B$10,MATCH($I9,'Konstanten'!$A$6:$A$10,1))+($I9-INDEX('Konstanten'!$A$6:$A$10,MATCH($I9,'Konstanten'!$A$6:$A$10,1)))/(INDEX('Konstanten'!$A$6:$A$10,MATCH($I9,'Konstanten'!$A$6:$A$10,1)+1)-INDEX('Konstanten'!$A$6:$A$10,MATCH($I9,'Konstanten'!$A$6:$A$10,1)))*(INDEX('Konstanten'!$B$6:$B$10,MATCH($I9,'Konstanten'!$A$6:$A$10,1)+1)-INDEX('Konstanten'!$B$6:$B$10,MATCH($I9,'Konstanten'!$A$6:$A$10,1))),INDEX('Konstanten'!$B$6:$B$10,MATCH($I9,'Konstanten'!$A$6:$A$10,1))),""))</f>
        <v/>
      </c>
      <c r="P9" s="62">
        <f>IF($B9="","",IFERROR(IFERROR(INDEX('Konstanten'!$C$6:$C$10,MATCH($I9,'Konstanten'!$A$6:$A$10,1))+($I9-INDEX('Konstanten'!$A$6:$A$10,MATCH($I9,'Konstanten'!$A$6:$A$10,1)))/(INDEX('Konstanten'!$A$6:$A$10,MATCH($I9,'Konstanten'!$A$6:$A$10,1)+1)-INDEX('Konstanten'!$A$6:$A$10,MATCH($I9,'Konstanten'!$A$6:$A$10,1)))*(INDEX('Konstanten'!$C$6:$C$10,MATCH($I9,'Konstanten'!$A$6:$A$10,1)+1)-INDEX('Konstanten'!$C$6:$C$10,MATCH($I9,'Konstanten'!$A$6:$A$10,1))),INDEX('Konstanten'!$C$6:$C$10,MATCH($I9,'Konstanten'!$A$6:$A$10,1))),""))</f>
        <v/>
      </c>
      <c r="Q9" s="63">
        <f>IF(OR($B9="",$N9="",$O9="",$P9=""),"",'Konstanten'!$C$13*$O9*$P9^(1-($J9/1000)/0.075)*'Konstanten'!$C$14^'Konstanten'!$C$16*'Konstanten'!$C$15^'Konstanten'!$C$17*$N9)</f>
        <v/>
      </c>
      <c r="R9" s="64">
        <f>IF(OR($B9="",$Q9=""),"",$E9+$Q9/'Grundeinstellungen'!$J$6)</f>
        <v/>
      </c>
      <c r="S9" s="64">
        <f>IF($B9="","",IFERROR(VLOOKUP($M9,'Konstanten'!$H$6:$I$13,2,FALSE),29))</f>
        <v/>
      </c>
      <c r="T9" s="65">
        <f>IF(OR($B9="",$Q9=""),"",$Q9*$H9)</f>
        <v/>
      </c>
      <c r="U9" s="66">
        <f>IF(OR($B9="",$T9=""),"",$T9-$F9)</f>
        <v/>
      </c>
      <c r="V9" s="67">
        <f>IF(OR($B9="",$T9=""),"",IFERROR($T9/$F9,""))</f>
        <v/>
      </c>
      <c r="W9" s="65">
        <f>IF(OR($B9="",$H9=""),"",'Grundeinstellungen'!$J$13*$H9)</f>
        <v/>
      </c>
      <c r="X9" s="65">
        <f>IF(OR($B9="",$T9=""),"",MIN($T9,$F9)+$W9)</f>
        <v/>
      </c>
      <c r="Y9" s="68">
        <f>IF($B9="","",IFERROR($H9/($J9/1000),""))</f>
        <v/>
      </c>
      <c r="Z9" s="68">
        <f>IF($B9="","",IFERROR(2*$L9*$K9,""))</f>
        <v/>
      </c>
      <c r="AA9" s="68">
        <f>IF(OR($B9="",$Y9="",$Z9=""),"",$Y9+$Z9)</f>
        <v/>
      </c>
      <c r="AB9" s="68">
        <f>IF(OR($B9="",$AA9=""),"",IFERROR($AA9/$K9,""))</f>
        <v/>
      </c>
      <c r="AC9" s="69">
        <f>IF(OR($B9="",$X9=""),"",IFERROR(($X9/$K9)/('Grundeinstellungen'!$C$16*('Grundeinstellungen'!$C$6-'Grundeinstellungen'!$C$7))*3600,""))</f>
        <v/>
      </c>
      <c r="AD9" s="70">
        <f>IF(OR($B9="",$AC9=""),"",$AC9/'Grundeinstellungen'!$C$15*1000)</f>
        <v/>
      </c>
      <c r="AE9" s="71">
        <f>IF(OR($B9="",$AC9=""),"",IFERROR($AC9/3600/'Grundeinstellungen'!$C$15/'Grundeinstellungen'!$J$22,""))</f>
        <v/>
      </c>
      <c r="AF9" s="72">
        <f>IF(OR($B9="",$AE9=""),"",IFERROR($AE9*'Grundeinstellungen'!$J$21/'Grundeinstellungen'!$C$17,""))</f>
        <v/>
      </c>
      <c r="AG9" s="73">
        <f>IF(OR($B9="",$AF9=""),"",IF($AF9&lt;2300,"laminar",IF($AF9&lt;4000,"Übergangsbereich","turbulent")))</f>
        <v/>
      </c>
      <c r="AH9" s="74">
        <f>IF(OR($B9="",$AF9=""),"",IF($AF9&lt;2300,64/$AF9,0.316/$AF9^0.25))</f>
        <v/>
      </c>
      <c r="AI9" s="75">
        <f>IF(OR($B9="",$AH9="",$AB9=""),"",IFERROR($AH9*($AB9/'Grundeinstellungen'!$J$21)*('Grundeinstellungen'!$C$15/2)*$AE9^2,""))</f>
        <v/>
      </c>
      <c r="AJ9" s="76">
        <f>IF(OR($B9="",$AI9="",$AB9=""),"",IFERROR($AI9/$AB9,""))</f>
        <v/>
      </c>
      <c r="AK9" s="75">
        <f>IF(OR($B9="",$AI9=""),"",$AI9*(1+'Grundeinstellungen'!$C$24)+'Grundeinstellungen'!$C$25)</f>
        <v/>
      </c>
    </row>
    <row r="10">
      <c r="A10" s="51" t="inlineStr">
        <is>
          <t>HKV EG</t>
        </is>
      </c>
      <c r="B10" s="51" t="inlineStr">
        <is>
          <t>004</t>
        </is>
      </c>
      <c r="C10" s="51" t="inlineStr">
        <is>
          <t>Besprechung</t>
        </is>
      </c>
      <c r="D10" s="52" t="n">
        <v>30</v>
      </c>
      <c r="E10" s="53" t="n">
        <v>20</v>
      </c>
      <c r="F10" s="54" t="n">
        <v>1500</v>
      </c>
      <c r="G10" s="55">
        <f>IF($B10="","",IFERROR($F10/$D10,""))</f>
        <v/>
      </c>
      <c r="H10" s="52" t="n">
        <v>28</v>
      </c>
      <c r="I10" s="56" t="n">
        <v>0.075</v>
      </c>
      <c r="J10" s="57" t="n">
        <v>100</v>
      </c>
      <c r="K10" s="58" t="n">
        <v>2</v>
      </c>
      <c r="L10" s="59" t="n">
        <v>7</v>
      </c>
      <c r="M10" s="60" t="inlineStr">
        <is>
          <t>AZ</t>
        </is>
      </c>
      <c r="N10" s="61">
        <f>IF($B10="","",IFERROR(('Grundeinstellungen'!$C$6-'Grundeinstellungen'!$C$7)/LN(('Grundeinstellungen'!$C$6-$E10)/('Grundeinstellungen'!$C$7-$E10)),""))</f>
        <v/>
      </c>
      <c r="O10" s="62">
        <f>IF($B10="","",IFERROR(IFERROR(INDEX('Konstanten'!$B$6:$B$10,MATCH($I10,'Konstanten'!$A$6:$A$10,1))+($I10-INDEX('Konstanten'!$A$6:$A$10,MATCH($I10,'Konstanten'!$A$6:$A$10,1)))/(INDEX('Konstanten'!$A$6:$A$10,MATCH($I10,'Konstanten'!$A$6:$A$10,1)+1)-INDEX('Konstanten'!$A$6:$A$10,MATCH($I10,'Konstanten'!$A$6:$A$10,1)))*(INDEX('Konstanten'!$B$6:$B$10,MATCH($I10,'Konstanten'!$A$6:$A$10,1)+1)-INDEX('Konstanten'!$B$6:$B$10,MATCH($I10,'Konstanten'!$A$6:$A$10,1))),INDEX('Konstanten'!$B$6:$B$10,MATCH($I10,'Konstanten'!$A$6:$A$10,1))),""))</f>
        <v/>
      </c>
      <c r="P10" s="62">
        <f>IF($B10="","",IFERROR(IFERROR(INDEX('Konstanten'!$C$6:$C$10,MATCH($I10,'Konstanten'!$A$6:$A$10,1))+($I10-INDEX('Konstanten'!$A$6:$A$10,MATCH($I10,'Konstanten'!$A$6:$A$10,1)))/(INDEX('Konstanten'!$A$6:$A$10,MATCH($I10,'Konstanten'!$A$6:$A$10,1)+1)-INDEX('Konstanten'!$A$6:$A$10,MATCH($I10,'Konstanten'!$A$6:$A$10,1)))*(INDEX('Konstanten'!$C$6:$C$10,MATCH($I10,'Konstanten'!$A$6:$A$10,1)+1)-INDEX('Konstanten'!$C$6:$C$10,MATCH($I10,'Konstanten'!$A$6:$A$10,1))),INDEX('Konstanten'!$C$6:$C$10,MATCH($I10,'Konstanten'!$A$6:$A$10,1))),""))</f>
        <v/>
      </c>
      <c r="Q10" s="63">
        <f>IF(OR($B10="",$N10="",$O10="",$P10=""),"",'Konstanten'!$C$13*$O10*$P10^(1-($J10/1000)/0.075)*'Konstanten'!$C$14^'Konstanten'!$C$16*'Konstanten'!$C$15^'Konstanten'!$C$17*$N10)</f>
        <v/>
      </c>
      <c r="R10" s="64">
        <f>IF(OR($B10="",$Q10=""),"",$E10+$Q10/'Grundeinstellungen'!$J$6)</f>
        <v/>
      </c>
      <c r="S10" s="64">
        <f>IF($B10="","",IFERROR(VLOOKUP($M10,'Konstanten'!$H$6:$I$13,2,FALSE),29))</f>
        <v/>
      </c>
      <c r="T10" s="65">
        <f>IF(OR($B10="",$Q10=""),"",$Q10*$H10)</f>
        <v/>
      </c>
      <c r="U10" s="66">
        <f>IF(OR($B10="",$T10=""),"",$T10-$F10)</f>
        <v/>
      </c>
      <c r="V10" s="67">
        <f>IF(OR($B10="",$T10=""),"",IFERROR($T10/$F10,""))</f>
        <v/>
      </c>
      <c r="W10" s="65">
        <f>IF(OR($B10="",$H10=""),"",'Grundeinstellungen'!$J$13*$H10)</f>
        <v/>
      </c>
      <c r="X10" s="65">
        <f>IF(OR($B10="",$T10=""),"",MIN($T10,$F10)+$W10)</f>
        <v/>
      </c>
      <c r="Y10" s="68">
        <f>IF($B10="","",IFERROR($H10/($J10/1000),""))</f>
        <v/>
      </c>
      <c r="Z10" s="68">
        <f>IF($B10="","",IFERROR(2*$L10*$K10,""))</f>
        <v/>
      </c>
      <c r="AA10" s="68">
        <f>IF(OR($B10="",$Y10="",$Z10=""),"",$Y10+$Z10)</f>
        <v/>
      </c>
      <c r="AB10" s="68">
        <f>IF(OR($B10="",$AA10=""),"",IFERROR($AA10/$K10,""))</f>
        <v/>
      </c>
      <c r="AC10" s="69">
        <f>IF(OR($B10="",$X10=""),"",IFERROR(($X10/$K10)/('Grundeinstellungen'!$C$16*('Grundeinstellungen'!$C$6-'Grundeinstellungen'!$C$7))*3600,""))</f>
        <v/>
      </c>
      <c r="AD10" s="70">
        <f>IF(OR($B10="",$AC10=""),"",$AC10/'Grundeinstellungen'!$C$15*1000)</f>
        <v/>
      </c>
      <c r="AE10" s="71">
        <f>IF(OR($B10="",$AC10=""),"",IFERROR($AC10/3600/'Grundeinstellungen'!$C$15/'Grundeinstellungen'!$J$22,""))</f>
        <v/>
      </c>
      <c r="AF10" s="72">
        <f>IF(OR($B10="",$AE10=""),"",IFERROR($AE10*'Grundeinstellungen'!$J$21/'Grundeinstellungen'!$C$17,""))</f>
        <v/>
      </c>
      <c r="AG10" s="73">
        <f>IF(OR($B10="",$AF10=""),"",IF($AF10&lt;2300,"laminar",IF($AF10&lt;4000,"Übergangsbereich","turbulent")))</f>
        <v/>
      </c>
      <c r="AH10" s="74">
        <f>IF(OR($B10="",$AF10=""),"",IF($AF10&lt;2300,64/$AF10,0.316/$AF10^0.25))</f>
        <v/>
      </c>
      <c r="AI10" s="75">
        <f>IF(OR($B10="",$AH10="",$AB10=""),"",IFERROR($AH10*($AB10/'Grundeinstellungen'!$J$21)*('Grundeinstellungen'!$C$15/2)*$AE10^2,""))</f>
        <v/>
      </c>
      <c r="AJ10" s="76">
        <f>IF(OR($B10="",$AI10="",$AB10=""),"",IFERROR($AI10/$AB10,""))</f>
        <v/>
      </c>
      <c r="AK10" s="75">
        <f>IF(OR($B10="",$AI10=""),"",$AI10*(1+'Grundeinstellungen'!$C$24)+'Grundeinstellungen'!$C$25)</f>
        <v/>
      </c>
    </row>
    <row r="11">
      <c r="A11" s="51" t="inlineStr">
        <is>
          <t>HKV EG</t>
        </is>
      </c>
      <c r="B11" s="51" t="inlineStr">
        <is>
          <t>005</t>
        </is>
      </c>
      <c r="C11" s="51" t="inlineStr">
        <is>
          <t>Flur</t>
        </is>
      </c>
      <c r="D11" s="52" t="n">
        <v>25</v>
      </c>
      <c r="E11" s="53" t="n">
        <v>20</v>
      </c>
      <c r="F11" s="54" t="n">
        <v>750</v>
      </c>
      <c r="G11" s="55">
        <f>IF($B11="","",IFERROR($F11/$D11,""))</f>
        <v/>
      </c>
      <c r="H11" s="52" t="n">
        <v>22</v>
      </c>
      <c r="I11" s="56" t="n">
        <v>0.05</v>
      </c>
      <c r="J11" s="57" t="n">
        <v>200</v>
      </c>
      <c r="K11" s="58" t="n">
        <v>1</v>
      </c>
      <c r="L11" s="59" t="n">
        <v>3</v>
      </c>
      <c r="M11" s="60" t="inlineStr">
        <is>
          <t>AZ</t>
        </is>
      </c>
      <c r="N11" s="61">
        <f>IF($B11="","",IFERROR(('Grundeinstellungen'!$C$6-'Grundeinstellungen'!$C$7)/LN(('Grundeinstellungen'!$C$6-$E11)/('Grundeinstellungen'!$C$7-$E11)),""))</f>
        <v/>
      </c>
      <c r="O11" s="62">
        <f>IF($B11="","",IFERROR(IFERROR(INDEX('Konstanten'!$B$6:$B$10,MATCH($I11,'Konstanten'!$A$6:$A$10,1))+($I11-INDEX('Konstanten'!$A$6:$A$10,MATCH($I11,'Konstanten'!$A$6:$A$10,1)))/(INDEX('Konstanten'!$A$6:$A$10,MATCH($I11,'Konstanten'!$A$6:$A$10,1)+1)-INDEX('Konstanten'!$A$6:$A$10,MATCH($I11,'Konstanten'!$A$6:$A$10,1)))*(INDEX('Konstanten'!$B$6:$B$10,MATCH($I11,'Konstanten'!$A$6:$A$10,1)+1)-INDEX('Konstanten'!$B$6:$B$10,MATCH($I11,'Konstanten'!$A$6:$A$10,1))),INDEX('Konstanten'!$B$6:$B$10,MATCH($I11,'Konstanten'!$A$6:$A$10,1))),""))</f>
        <v/>
      </c>
      <c r="P11" s="62">
        <f>IF($B11="","",IFERROR(IFERROR(INDEX('Konstanten'!$C$6:$C$10,MATCH($I11,'Konstanten'!$A$6:$A$10,1))+($I11-INDEX('Konstanten'!$A$6:$A$10,MATCH($I11,'Konstanten'!$A$6:$A$10,1)))/(INDEX('Konstanten'!$A$6:$A$10,MATCH($I11,'Konstanten'!$A$6:$A$10,1)+1)-INDEX('Konstanten'!$A$6:$A$10,MATCH($I11,'Konstanten'!$A$6:$A$10,1)))*(INDEX('Konstanten'!$C$6:$C$10,MATCH($I11,'Konstanten'!$A$6:$A$10,1)+1)-INDEX('Konstanten'!$C$6:$C$10,MATCH($I11,'Konstanten'!$A$6:$A$10,1))),INDEX('Konstanten'!$C$6:$C$10,MATCH($I11,'Konstanten'!$A$6:$A$10,1))),""))</f>
        <v/>
      </c>
      <c r="Q11" s="63">
        <f>IF(OR($B11="",$N11="",$O11="",$P11=""),"",'Konstanten'!$C$13*$O11*$P11^(1-($J11/1000)/0.075)*'Konstanten'!$C$14^'Konstanten'!$C$16*'Konstanten'!$C$15^'Konstanten'!$C$17*$N11)</f>
        <v/>
      </c>
      <c r="R11" s="64">
        <f>IF(OR($B11="",$Q11=""),"",$E11+$Q11/'Grundeinstellungen'!$J$6)</f>
        <v/>
      </c>
      <c r="S11" s="64">
        <f>IF($B11="","",IFERROR(VLOOKUP($M11,'Konstanten'!$H$6:$I$13,2,FALSE),29))</f>
        <v/>
      </c>
      <c r="T11" s="65">
        <f>IF(OR($B11="",$Q11=""),"",$Q11*$H11)</f>
        <v/>
      </c>
      <c r="U11" s="66">
        <f>IF(OR($B11="",$T11=""),"",$T11-$F11)</f>
        <v/>
      </c>
      <c r="V11" s="67">
        <f>IF(OR($B11="",$T11=""),"",IFERROR($T11/$F11,""))</f>
        <v/>
      </c>
      <c r="W11" s="65">
        <f>IF(OR($B11="",$H11=""),"",'Grundeinstellungen'!$J$13*$H11)</f>
        <v/>
      </c>
      <c r="X11" s="65">
        <f>IF(OR($B11="",$T11=""),"",MIN($T11,$F11)+$W11)</f>
        <v/>
      </c>
      <c r="Y11" s="68">
        <f>IF($B11="","",IFERROR($H11/($J11/1000),""))</f>
        <v/>
      </c>
      <c r="Z11" s="68">
        <f>IF($B11="","",IFERROR(2*$L11*$K11,""))</f>
        <v/>
      </c>
      <c r="AA11" s="68">
        <f>IF(OR($B11="",$Y11="",$Z11=""),"",$Y11+$Z11)</f>
        <v/>
      </c>
      <c r="AB11" s="68">
        <f>IF(OR($B11="",$AA11=""),"",IFERROR($AA11/$K11,""))</f>
        <v/>
      </c>
      <c r="AC11" s="69">
        <f>IF(OR($B11="",$X11=""),"",IFERROR(($X11/$K11)/('Grundeinstellungen'!$C$16*('Grundeinstellungen'!$C$6-'Grundeinstellungen'!$C$7))*3600,""))</f>
        <v/>
      </c>
      <c r="AD11" s="70">
        <f>IF(OR($B11="",$AC11=""),"",$AC11/'Grundeinstellungen'!$C$15*1000)</f>
        <v/>
      </c>
      <c r="AE11" s="71">
        <f>IF(OR($B11="",$AC11=""),"",IFERROR($AC11/3600/'Grundeinstellungen'!$C$15/'Grundeinstellungen'!$J$22,""))</f>
        <v/>
      </c>
      <c r="AF11" s="72">
        <f>IF(OR($B11="",$AE11=""),"",IFERROR($AE11*'Grundeinstellungen'!$J$21/'Grundeinstellungen'!$C$17,""))</f>
        <v/>
      </c>
      <c r="AG11" s="73">
        <f>IF(OR($B11="",$AF11=""),"",IF($AF11&lt;2300,"laminar",IF($AF11&lt;4000,"Übergangsbereich","turbulent")))</f>
        <v/>
      </c>
      <c r="AH11" s="74">
        <f>IF(OR($B11="",$AF11=""),"",IF($AF11&lt;2300,64/$AF11,0.316/$AF11^0.25))</f>
        <v/>
      </c>
      <c r="AI11" s="75">
        <f>IF(OR($B11="",$AH11="",$AB11=""),"",IFERROR($AH11*($AB11/'Grundeinstellungen'!$J$21)*('Grundeinstellungen'!$C$15/2)*$AE11^2,""))</f>
        <v/>
      </c>
      <c r="AJ11" s="76">
        <f>IF(OR($B11="",$AI11="",$AB11=""),"",IFERROR($AI11/$AB11,""))</f>
        <v/>
      </c>
      <c r="AK11" s="75">
        <f>IF(OR($B11="",$AI11=""),"",$AI11*(1+'Grundeinstellungen'!$C$24)+'Grundeinstellungen'!$C$25)</f>
        <v/>
      </c>
    </row>
    <row r="12">
      <c r="A12" s="51" t="inlineStr">
        <is>
          <t>HKV OG</t>
        </is>
      </c>
      <c r="B12" s="51" t="inlineStr">
        <is>
          <t>101</t>
        </is>
      </c>
      <c r="C12" s="51" t="inlineStr">
        <is>
          <t>WC / Sanitär</t>
        </is>
      </c>
      <c r="D12" s="52" t="n">
        <v>12</v>
      </c>
      <c r="E12" s="53" t="n">
        <v>24</v>
      </c>
      <c r="F12" s="54" t="n">
        <v>600</v>
      </c>
      <c r="G12" s="55">
        <f>IF($B12="","",IFERROR($F12/$D12,""))</f>
        <v/>
      </c>
      <c r="H12" s="52" t="n">
        <v>9</v>
      </c>
      <c r="I12" s="56" t="n">
        <v>0.01</v>
      </c>
      <c r="J12" s="57" t="n">
        <v>100</v>
      </c>
      <c r="K12" s="58" t="n">
        <v>1</v>
      </c>
      <c r="L12" s="59" t="n">
        <v>10</v>
      </c>
      <c r="M12" s="60" t="inlineStr">
        <is>
          <t>BAD</t>
        </is>
      </c>
      <c r="N12" s="61">
        <f>IF($B12="","",IFERROR(('Grundeinstellungen'!$C$6-'Grundeinstellungen'!$C$7)/LN(('Grundeinstellungen'!$C$6-$E12)/('Grundeinstellungen'!$C$7-$E12)),""))</f>
        <v/>
      </c>
      <c r="O12" s="62">
        <f>IF($B12="","",IFERROR(IFERROR(INDEX('Konstanten'!$B$6:$B$10,MATCH($I12,'Konstanten'!$A$6:$A$10,1))+($I12-INDEX('Konstanten'!$A$6:$A$10,MATCH($I12,'Konstanten'!$A$6:$A$10,1)))/(INDEX('Konstanten'!$A$6:$A$10,MATCH($I12,'Konstanten'!$A$6:$A$10,1)+1)-INDEX('Konstanten'!$A$6:$A$10,MATCH($I12,'Konstanten'!$A$6:$A$10,1)))*(INDEX('Konstanten'!$B$6:$B$10,MATCH($I12,'Konstanten'!$A$6:$A$10,1)+1)-INDEX('Konstanten'!$B$6:$B$10,MATCH($I12,'Konstanten'!$A$6:$A$10,1))),INDEX('Konstanten'!$B$6:$B$10,MATCH($I12,'Konstanten'!$A$6:$A$10,1))),""))</f>
        <v/>
      </c>
      <c r="P12" s="62">
        <f>IF($B12="","",IFERROR(IFERROR(INDEX('Konstanten'!$C$6:$C$10,MATCH($I12,'Konstanten'!$A$6:$A$10,1))+($I12-INDEX('Konstanten'!$A$6:$A$10,MATCH($I12,'Konstanten'!$A$6:$A$10,1)))/(INDEX('Konstanten'!$A$6:$A$10,MATCH($I12,'Konstanten'!$A$6:$A$10,1)+1)-INDEX('Konstanten'!$A$6:$A$10,MATCH($I12,'Konstanten'!$A$6:$A$10,1)))*(INDEX('Konstanten'!$C$6:$C$10,MATCH($I12,'Konstanten'!$A$6:$A$10,1)+1)-INDEX('Konstanten'!$C$6:$C$10,MATCH($I12,'Konstanten'!$A$6:$A$10,1))),INDEX('Konstanten'!$C$6:$C$10,MATCH($I12,'Konstanten'!$A$6:$A$10,1))),""))</f>
        <v/>
      </c>
      <c r="Q12" s="63">
        <f>IF(OR($B12="",$N12="",$O12="",$P12=""),"",'Konstanten'!$C$13*$O12*$P12^(1-($J12/1000)/0.075)*'Konstanten'!$C$14^'Konstanten'!$C$16*'Konstanten'!$C$15^'Konstanten'!$C$17*$N12)</f>
        <v/>
      </c>
      <c r="R12" s="64">
        <f>IF(OR($B12="",$Q12=""),"",$E12+$Q12/'Grundeinstellungen'!$J$6)</f>
        <v/>
      </c>
      <c r="S12" s="64">
        <f>IF($B12="","",IFERROR(VLOOKUP($M12,'Konstanten'!$H$6:$I$13,2,FALSE),29))</f>
        <v/>
      </c>
      <c r="T12" s="65">
        <f>IF(OR($B12="",$Q12=""),"",$Q12*$H12)</f>
        <v/>
      </c>
      <c r="U12" s="66">
        <f>IF(OR($B12="",$T12=""),"",$T12-$F12)</f>
        <v/>
      </c>
      <c r="V12" s="67">
        <f>IF(OR($B12="",$T12=""),"",IFERROR($T12/$F12,""))</f>
        <v/>
      </c>
      <c r="W12" s="65">
        <f>IF(OR($B12="",$H12=""),"",'Grundeinstellungen'!$J$13*$H12)</f>
        <v/>
      </c>
      <c r="X12" s="65">
        <f>IF(OR($B12="",$T12=""),"",MIN($T12,$F12)+$W12)</f>
        <v/>
      </c>
      <c r="Y12" s="68">
        <f>IF($B12="","",IFERROR($H12/($J12/1000),""))</f>
        <v/>
      </c>
      <c r="Z12" s="68">
        <f>IF($B12="","",IFERROR(2*$L12*$K12,""))</f>
        <v/>
      </c>
      <c r="AA12" s="68">
        <f>IF(OR($B12="",$Y12="",$Z12=""),"",$Y12+$Z12)</f>
        <v/>
      </c>
      <c r="AB12" s="68">
        <f>IF(OR($B12="",$AA12=""),"",IFERROR($AA12/$K12,""))</f>
        <v/>
      </c>
      <c r="AC12" s="69">
        <f>IF(OR($B12="",$X12=""),"",IFERROR(($X12/$K12)/('Grundeinstellungen'!$C$16*('Grundeinstellungen'!$C$6-'Grundeinstellungen'!$C$7))*3600,""))</f>
        <v/>
      </c>
      <c r="AD12" s="70">
        <f>IF(OR($B12="",$AC12=""),"",$AC12/'Grundeinstellungen'!$C$15*1000)</f>
        <v/>
      </c>
      <c r="AE12" s="71">
        <f>IF(OR($B12="",$AC12=""),"",IFERROR($AC12/3600/'Grundeinstellungen'!$C$15/'Grundeinstellungen'!$J$22,""))</f>
        <v/>
      </c>
      <c r="AF12" s="72">
        <f>IF(OR($B12="",$AE12=""),"",IFERROR($AE12*'Grundeinstellungen'!$J$21/'Grundeinstellungen'!$C$17,""))</f>
        <v/>
      </c>
      <c r="AG12" s="73">
        <f>IF(OR($B12="",$AF12=""),"",IF($AF12&lt;2300,"laminar",IF($AF12&lt;4000,"Übergangsbereich","turbulent")))</f>
        <v/>
      </c>
      <c r="AH12" s="74">
        <f>IF(OR($B12="",$AF12=""),"",IF($AF12&lt;2300,64/$AF12,0.316/$AF12^0.25))</f>
        <v/>
      </c>
      <c r="AI12" s="75">
        <f>IF(OR($B12="",$AH12="",$AB12=""),"",IFERROR($AH12*($AB12/'Grundeinstellungen'!$J$21)*('Grundeinstellungen'!$C$15/2)*$AE12^2,""))</f>
        <v/>
      </c>
      <c r="AJ12" s="76">
        <f>IF(OR($B12="",$AI12="",$AB12=""),"",IFERROR($AI12/$AB12,""))</f>
        <v/>
      </c>
      <c r="AK12" s="75">
        <f>IF(OR($B12="",$AI12=""),"",$AI12*(1+'Grundeinstellungen'!$C$24)+'Grundeinstellungen'!$C$25)</f>
        <v/>
      </c>
    </row>
    <row r="13">
      <c r="A13" s="51" t="inlineStr">
        <is>
          <t>HKV OG</t>
        </is>
      </c>
      <c r="B13" s="51" t="inlineStr">
        <is>
          <t>102</t>
        </is>
      </c>
      <c r="C13" s="51" t="inlineStr">
        <is>
          <t>Teeküche</t>
        </is>
      </c>
      <c r="D13" s="52" t="n">
        <v>10</v>
      </c>
      <c r="E13" s="53" t="n">
        <v>20</v>
      </c>
      <c r="F13" s="54" t="n">
        <v>450</v>
      </c>
      <c r="G13" s="55">
        <f>IF($B13="","",IFERROR($F13/$D13,""))</f>
        <v/>
      </c>
      <c r="H13" s="52" t="n">
        <v>8</v>
      </c>
      <c r="I13" s="56" t="n">
        <v>0.01</v>
      </c>
      <c r="J13" s="57" t="n">
        <v>100</v>
      </c>
      <c r="K13" s="58" t="n">
        <v>1</v>
      </c>
      <c r="L13" s="59" t="n">
        <v>9</v>
      </c>
      <c r="M13" s="60" t="inlineStr">
        <is>
          <t>AZ</t>
        </is>
      </c>
      <c r="N13" s="61">
        <f>IF($B13="","",IFERROR(('Grundeinstellungen'!$C$6-'Grundeinstellungen'!$C$7)/LN(('Grundeinstellungen'!$C$6-$E13)/('Grundeinstellungen'!$C$7-$E13)),""))</f>
        <v/>
      </c>
      <c r="O13" s="62">
        <f>IF($B13="","",IFERROR(IFERROR(INDEX('Konstanten'!$B$6:$B$10,MATCH($I13,'Konstanten'!$A$6:$A$10,1))+($I13-INDEX('Konstanten'!$A$6:$A$10,MATCH($I13,'Konstanten'!$A$6:$A$10,1)))/(INDEX('Konstanten'!$A$6:$A$10,MATCH($I13,'Konstanten'!$A$6:$A$10,1)+1)-INDEX('Konstanten'!$A$6:$A$10,MATCH($I13,'Konstanten'!$A$6:$A$10,1)))*(INDEX('Konstanten'!$B$6:$B$10,MATCH($I13,'Konstanten'!$A$6:$A$10,1)+1)-INDEX('Konstanten'!$B$6:$B$10,MATCH($I13,'Konstanten'!$A$6:$A$10,1))),INDEX('Konstanten'!$B$6:$B$10,MATCH($I13,'Konstanten'!$A$6:$A$10,1))),""))</f>
        <v/>
      </c>
      <c r="P13" s="62">
        <f>IF($B13="","",IFERROR(IFERROR(INDEX('Konstanten'!$C$6:$C$10,MATCH($I13,'Konstanten'!$A$6:$A$10,1))+($I13-INDEX('Konstanten'!$A$6:$A$10,MATCH($I13,'Konstanten'!$A$6:$A$10,1)))/(INDEX('Konstanten'!$A$6:$A$10,MATCH($I13,'Konstanten'!$A$6:$A$10,1)+1)-INDEX('Konstanten'!$A$6:$A$10,MATCH($I13,'Konstanten'!$A$6:$A$10,1)))*(INDEX('Konstanten'!$C$6:$C$10,MATCH($I13,'Konstanten'!$A$6:$A$10,1)+1)-INDEX('Konstanten'!$C$6:$C$10,MATCH($I13,'Konstanten'!$A$6:$A$10,1))),INDEX('Konstanten'!$C$6:$C$10,MATCH($I13,'Konstanten'!$A$6:$A$10,1))),""))</f>
        <v/>
      </c>
      <c r="Q13" s="63">
        <f>IF(OR($B13="",$N13="",$O13="",$P13=""),"",'Konstanten'!$C$13*$O13*$P13^(1-($J13/1000)/0.075)*'Konstanten'!$C$14^'Konstanten'!$C$16*'Konstanten'!$C$15^'Konstanten'!$C$17*$N13)</f>
        <v/>
      </c>
      <c r="R13" s="64">
        <f>IF(OR($B13="",$Q13=""),"",$E13+$Q13/'Grundeinstellungen'!$J$6)</f>
        <v/>
      </c>
      <c r="S13" s="64">
        <f>IF($B13="","",IFERROR(VLOOKUP($M13,'Konstanten'!$H$6:$I$13,2,FALSE),29))</f>
        <v/>
      </c>
      <c r="T13" s="65">
        <f>IF(OR($B13="",$Q13=""),"",$Q13*$H13)</f>
        <v/>
      </c>
      <c r="U13" s="66">
        <f>IF(OR($B13="",$T13=""),"",$T13-$F13)</f>
        <v/>
      </c>
      <c r="V13" s="67">
        <f>IF(OR($B13="",$T13=""),"",IFERROR($T13/$F13,""))</f>
        <v/>
      </c>
      <c r="W13" s="65">
        <f>IF(OR($B13="",$H13=""),"",'Grundeinstellungen'!$J$13*$H13)</f>
        <v/>
      </c>
      <c r="X13" s="65">
        <f>IF(OR($B13="",$T13=""),"",MIN($T13,$F13)+$W13)</f>
        <v/>
      </c>
      <c r="Y13" s="68">
        <f>IF($B13="","",IFERROR($H13/($J13/1000),""))</f>
        <v/>
      </c>
      <c r="Z13" s="68">
        <f>IF($B13="","",IFERROR(2*$L13*$K13,""))</f>
        <v/>
      </c>
      <c r="AA13" s="68">
        <f>IF(OR($B13="",$Y13="",$Z13=""),"",$Y13+$Z13)</f>
        <v/>
      </c>
      <c r="AB13" s="68">
        <f>IF(OR($B13="",$AA13=""),"",IFERROR($AA13/$K13,""))</f>
        <v/>
      </c>
      <c r="AC13" s="69">
        <f>IF(OR($B13="",$X13=""),"",IFERROR(($X13/$K13)/('Grundeinstellungen'!$C$16*('Grundeinstellungen'!$C$6-'Grundeinstellungen'!$C$7))*3600,""))</f>
        <v/>
      </c>
      <c r="AD13" s="70">
        <f>IF(OR($B13="",$AC13=""),"",$AC13/'Grundeinstellungen'!$C$15*1000)</f>
        <v/>
      </c>
      <c r="AE13" s="71">
        <f>IF(OR($B13="",$AC13=""),"",IFERROR($AC13/3600/'Grundeinstellungen'!$C$15/'Grundeinstellungen'!$J$22,""))</f>
        <v/>
      </c>
      <c r="AF13" s="72">
        <f>IF(OR($B13="",$AE13=""),"",IFERROR($AE13*'Grundeinstellungen'!$J$21/'Grundeinstellungen'!$C$17,""))</f>
        <v/>
      </c>
      <c r="AG13" s="73">
        <f>IF(OR($B13="",$AF13=""),"",IF($AF13&lt;2300,"laminar",IF($AF13&lt;4000,"Übergangsbereich","turbulent")))</f>
        <v/>
      </c>
      <c r="AH13" s="74">
        <f>IF(OR($B13="",$AF13=""),"",IF($AF13&lt;2300,64/$AF13,0.316/$AF13^0.25))</f>
        <v/>
      </c>
      <c r="AI13" s="75">
        <f>IF(OR($B13="",$AH13="",$AB13=""),"",IFERROR($AH13*($AB13/'Grundeinstellungen'!$J$21)*('Grundeinstellungen'!$C$15/2)*$AE13^2,""))</f>
        <v/>
      </c>
      <c r="AJ13" s="76">
        <f>IF(OR($B13="",$AI13="",$AB13=""),"",IFERROR($AI13/$AB13,""))</f>
        <v/>
      </c>
      <c r="AK13" s="75">
        <f>IF(OR($B13="",$AI13=""),"",$AI13*(1+'Grundeinstellungen'!$C$24)+'Grundeinstellungen'!$C$25)</f>
        <v/>
      </c>
    </row>
    <row r="14">
      <c r="A14" s="51" t="inlineStr">
        <is>
          <t>HKV OG</t>
        </is>
      </c>
      <c r="B14" s="51" t="inlineStr">
        <is>
          <t>103</t>
        </is>
      </c>
      <c r="C14" s="51" t="inlineStr">
        <is>
          <t>Archiv</t>
        </is>
      </c>
      <c r="D14" s="52" t="n">
        <v>20</v>
      </c>
      <c r="E14" s="53" t="n">
        <v>18</v>
      </c>
      <c r="F14" s="54" t="n">
        <v>500</v>
      </c>
      <c r="G14" s="55">
        <f>IF($B14="","",IFERROR($F14/$D14,""))</f>
        <v/>
      </c>
      <c r="H14" s="52" t="n">
        <v>18</v>
      </c>
      <c r="I14" s="56" t="n">
        <v>0.05</v>
      </c>
      <c r="J14" s="57" t="n">
        <v>200</v>
      </c>
      <c r="K14" s="58" t="n">
        <v>1</v>
      </c>
      <c r="L14" s="59" t="n">
        <v>12</v>
      </c>
      <c r="M14" s="60" t="inlineStr">
        <is>
          <t>AZ</t>
        </is>
      </c>
      <c r="N14" s="61">
        <f>IF($B14="","",IFERROR(('Grundeinstellungen'!$C$6-'Grundeinstellungen'!$C$7)/LN(('Grundeinstellungen'!$C$6-$E14)/('Grundeinstellungen'!$C$7-$E14)),""))</f>
        <v/>
      </c>
      <c r="O14" s="62">
        <f>IF($B14="","",IFERROR(IFERROR(INDEX('Konstanten'!$B$6:$B$10,MATCH($I14,'Konstanten'!$A$6:$A$10,1))+($I14-INDEX('Konstanten'!$A$6:$A$10,MATCH($I14,'Konstanten'!$A$6:$A$10,1)))/(INDEX('Konstanten'!$A$6:$A$10,MATCH($I14,'Konstanten'!$A$6:$A$10,1)+1)-INDEX('Konstanten'!$A$6:$A$10,MATCH($I14,'Konstanten'!$A$6:$A$10,1)))*(INDEX('Konstanten'!$B$6:$B$10,MATCH($I14,'Konstanten'!$A$6:$A$10,1)+1)-INDEX('Konstanten'!$B$6:$B$10,MATCH($I14,'Konstanten'!$A$6:$A$10,1))),INDEX('Konstanten'!$B$6:$B$10,MATCH($I14,'Konstanten'!$A$6:$A$10,1))),""))</f>
        <v/>
      </c>
      <c r="P14" s="62">
        <f>IF($B14="","",IFERROR(IFERROR(INDEX('Konstanten'!$C$6:$C$10,MATCH($I14,'Konstanten'!$A$6:$A$10,1))+($I14-INDEX('Konstanten'!$A$6:$A$10,MATCH($I14,'Konstanten'!$A$6:$A$10,1)))/(INDEX('Konstanten'!$A$6:$A$10,MATCH($I14,'Konstanten'!$A$6:$A$10,1)+1)-INDEX('Konstanten'!$A$6:$A$10,MATCH($I14,'Konstanten'!$A$6:$A$10,1)))*(INDEX('Konstanten'!$C$6:$C$10,MATCH($I14,'Konstanten'!$A$6:$A$10,1)+1)-INDEX('Konstanten'!$C$6:$C$10,MATCH($I14,'Konstanten'!$A$6:$A$10,1))),INDEX('Konstanten'!$C$6:$C$10,MATCH($I14,'Konstanten'!$A$6:$A$10,1))),""))</f>
        <v/>
      </c>
      <c r="Q14" s="63">
        <f>IF(OR($B14="",$N14="",$O14="",$P14=""),"",'Konstanten'!$C$13*$O14*$P14^(1-($J14/1000)/0.075)*'Konstanten'!$C$14^'Konstanten'!$C$16*'Konstanten'!$C$15^'Konstanten'!$C$17*$N14)</f>
        <v/>
      </c>
      <c r="R14" s="64">
        <f>IF(OR($B14="",$Q14=""),"",$E14+$Q14/'Grundeinstellungen'!$J$6)</f>
        <v/>
      </c>
      <c r="S14" s="64">
        <f>IF($B14="","",IFERROR(VLOOKUP($M14,'Konstanten'!$H$6:$I$13,2,FALSE),29))</f>
        <v/>
      </c>
      <c r="T14" s="65">
        <f>IF(OR($B14="",$Q14=""),"",$Q14*$H14)</f>
        <v/>
      </c>
      <c r="U14" s="66">
        <f>IF(OR($B14="",$T14=""),"",$T14-$F14)</f>
        <v/>
      </c>
      <c r="V14" s="67">
        <f>IF(OR($B14="",$T14=""),"",IFERROR($T14/$F14,""))</f>
        <v/>
      </c>
      <c r="W14" s="65">
        <f>IF(OR($B14="",$H14=""),"",'Grundeinstellungen'!$J$13*$H14)</f>
        <v/>
      </c>
      <c r="X14" s="65">
        <f>IF(OR($B14="",$T14=""),"",MIN($T14,$F14)+$W14)</f>
        <v/>
      </c>
      <c r="Y14" s="68">
        <f>IF($B14="","",IFERROR($H14/($J14/1000),""))</f>
        <v/>
      </c>
      <c r="Z14" s="68">
        <f>IF($B14="","",IFERROR(2*$L14*$K14,""))</f>
        <v/>
      </c>
      <c r="AA14" s="68">
        <f>IF(OR($B14="",$Y14="",$Z14=""),"",$Y14+$Z14)</f>
        <v/>
      </c>
      <c r="AB14" s="68">
        <f>IF(OR($B14="",$AA14=""),"",IFERROR($AA14/$K14,""))</f>
        <v/>
      </c>
      <c r="AC14" s="69">
        <f>IF(OR($B14="",$X14=""),"",IFERROR(($X14/$K14)/('Grundeinstellungen'!$C$16*('Grundeinstellungen'!$C$6-'Grundeinstellungen'!$C$7))*3600,""))</f>
        <v/>
      </c>
      <c r="AD14" s="70">
        <f>IF(OR($B14="",$AC14=""),"",$AC14/'Grundeinstellungen'!$C$15*1000)</f>
        <v/>
      </c>
      <c r="AE14" s="71">
        <f>IF(OR($B14="",$AC14=""),"",IFERROR($AC14/3600/'Grundeinstellungen'!$C$15/'Grundeinstellungen'!$J$22,""))</f>
        <v/>
      </c>
      <c r="AF14" s="72">
        <f>IF(OR($B14="",$AE14=""),"",IFERROR($AE14*'Grundeinstellungen'!$J$21/'Grundeinstellungen'!$C$17,""))</f>
        <v/>
      </c>
      <c r="AG14" s="73">
        <f>IF(OR($B14="",$AF14=""),"",IF($AF14&lt;2300,"laminar",IF($AF14&lt;4000,"Übergangsbereich","turbulent")))</f>
        <v/>
      </c>
      <c r="AH14" s="74">
        <f>IF(OR($B14="",$AF14=""),"",IF($AF14&lt;2300,64/$AF14,0.316/$AF14^0.25))</f>
        <v/>
      </c>
      <c r="AI14" s="75">
        <f>IF(OR($B14="",$AH14="",$AB14=""),"",IFERROR($AH14*($AB14/'Grundeinstellungen'!$J$21)*('Grundeinstellungen'!$C$15/2)*$AE14^2,""))</f>
        <v/>
      </c>
      <c r="AJ14" s="76">
        <f>IF(OR($B14="",$AI14="",$AB14=""),"",IFERROR($AI14/$AB14,""))</f>
        <v/>
      </c>
      <c r="AK14" s="75">
        <f>IF(OR($B14="",$AI14=""),"",$AI14*(1+'Grundeinstellungen'!$C$24)+'Grundeinstellungen'!$C$25)</f>
        <v/>
      </c>
    </row>
    <row r="15">
      <c r="A15" s="51" t="inlineStr">
        <is>
          <t>HKV OG</t>
        </is>
      </c>
      <c r="B15" s="51" t="inlineStr">
        <is>
          <t>104</t>
        </is>
      </c>
      <c r="C15" s="51" t="inlineStr">
        <is>
          <t>Technikraum</t>
        </is>
      </c>
      <c r="D15" s="52" t="n">
        <v>15</v>
      </c>
      <c r="E15" s="53" t="n">
        <v>15</v>
      </c>
      <c r="F15" s="54" t="n">
        <v>300</v>
      </c>
      <c r="G15" s="55">
        <f>IF($B15="","",IFERROR($F15/$D15,""))</f>
        <v/>
      </c>
      <c r="H15" s="52" t="n">
        <v>12</v>
      </c>
      <c r="I15" s="56" t="n">
        <v>0</v>
      </c>
      <c r="J15" s="57" t="n">
        <v>250</v>
      </c>
      <c r="K15" s="58" t="n">
        <v>1</v>
      </c>
      <c r="L15" s="59" t="n">
        <v>14</v>
      </c>
      <c r="M15" s="60" t="inlineStr">
        <is>
          <t>AZ</t>
        </is>
      </c>
      <c r="N15" s="61">
        <f>IF($B15="","",IFERROR(('Grundeinstellungen'!$C$6-'Grundeinstellungen'!$C$7)/LN(('Grundeinstellungen'!$C$6-$E15)/('Grundeinstellungen'!$C$7-$E15)),""))</f>
        <v/>
      </c>
      <c r="O15" s="62">
        <f>IF($B15="","",IFERROR(IFERROR(INDEX('Konstanten'!$B$6:$B$10,MATCH($I15,'Konstanten'!$A$6:$A$10,1))+($I15-INDEX('Konstanten'!$A$6:$A$10,MATCH($I15,'Konstanten'!$A$6:$A$10,1)))/(INDEX('Konstanten'!$A$6:$A$10,MATCH($I15,'Konstanten'!$A$6:$A$10,1)+1)-INDEX('Konstanten'!$A$6:$A$10,MATCH($I15,'Konstanten'!$A$6:$A$10,1)))*(INDEX('Konstanten'!$B$6:$B$10,MATCH($I15,'Konstanten'!$A$6:$A$10,1)+1)-INDEX('Konstanten'!$B$6:$B$10,MATCH($I15,'Konstanten'!$A$6:$A$10,1))),INDEX('Konstanten'!$B$6:$B$10,MATCH($I15,'Konstanten'!$A$6:$A$10,1))),""))</f>
        <v/>
      </c>
      <c r="P15" s="62">
        <f>IF($B15="","",IFERROR(IFERROR(INDEX('Konstanten'!$C$6:$C$10,MATCH($I15,'Konstanten'!$A$6:$A$10,1))+($I15-INDEX('Konstanten'!$A$6:$A$10,MATCH($I15,'Konstanten'!$A$6:$A$10,1)))/(INDEX('Konstanten'!$A$6:$A$10,MATCH($I15,'Konstanten'!$A$6:$A$10,1)+1)-INDEX('Konstanten'!$A$6:$A$10,MATCH($I15,'Konstanten'!$A$6:$A$10,1)))*(INDEX('Konstanten'!$C$6:$C$10,MATCH($I15,'Konstanten'!$A$6:$A$10,1)+1)-INDEX('Konstanten'!$C$6:$C$10,MATCH($I15,'Konstanten'!$A$6:$A$10,1))),INDEX('Konstanten'!$C$6:$C$10,MATCH($I15,'Konstanten'!$A$6:$A$10,1))),""))</f>
        <v/>
      </c>
      <c r="Q15" s="63">
        <f>IF(OR($B15="",$N15="",$O15="",$P15=""),"",'Konstanten'!$C$13*$O15*$P15^(1-($J15/1000)/0.075)*'Konstanten'!$C$14^'Konstanten'!$C$16*'Konstanten'!$C$15^'Konstanten'!$C$17*$N15)</f>
        <v/>
      </c>
      <c r="R15" s="64">
        <f>IF(OR($B15="",$Q15=""),"",$E15+$Q15/'Grundeinstellungen'!$J$6)</f>
        <v/>
      </c>
      <c r="S15" s="64">
        <f>IF($B15="","",IFERROR(VLOOKUP($M15,'Konstanten'!$H$6:$I$13,2,FALSE),29))</f>
        <v/>
      </c>
      <c r="T15" s="65">
        <f>IF(OR($B15="",$Q15=""),"",$Q15*$H15)</f>
        <v/>
      </c>
      <c r="U15" s="66">
        <f>IF(OR($B15="",$T15=""),"",$T15-$F15)</f>
        <v/>
      </c>
      <c r="V15" s="67">
        <f>IF(OR($B15="",$T15=""),"",IFERROR($T15/$F15,""))</f>
        <v/>
      </c>
      <c r="W15" s="65">
        <f>IF(OR($B15="",$H15=""),"",'Grundeinstellungen'!$J$13*$H15)</f>
        <v/>
      </c>
      <c r="X15" s="65">
        <f>IF(OR($B15="",$T15=""),"",MIN($T15,$F15)+$W15)</f>
        <v/>
      </c>
      <c r="Y15" s="68">
        <f>IF($B15="","",IFERROR($H15/($J15/1000),""))</f>
        <v/>
      </c>
      <c r="Z15" s="68">
        <f>IF($B15="","",IFERROR(2*$L15*$K15,""))</f>
        <v/>
      </c>
      <c r="AA15" s="68">
        <f>IF(OR($B15="",$Y15="",$Z15=""),"",$Y15+$Z15)</f>
        <v/>
      </c>
      <c r="AB15" s="68">
        <f>IF(OR($B15="",$AA15=""),"",IFERROR($AA15/$K15,""))</f>
        <v/>
      </c>
      <c r="AC15" s="69">
        <f>IF(OR($B15="",$X15=""),"",IFERROR(($X15/$K15)/('Grundeinstellungen'!$C$16*('Grundeinstellungen'!$C$6-'Grundeinstellungen'!$C$7))*3600,""))</f>
        <v/>
      </c>
      <c r="AD15" s="70">
        <f>IF(OR($B15="",$AC15=""),"",$AC15/'Grundeinstellungen'!$C$15*1000)</f>
        <v/>
      </c>
      <c r="AE15" s="71">
        <f>IF(OR($B15="",$AC15=""),"",IFERROR($AC15/3600/'Grundeinstellungen'!$C$15/'Grundeinstellungen'!$J$22,""))</f>
        <v/>
      </c>
      <c r="AF15" s="72">
        <f>IF(OR($B15="",$AE15=""),"",IFERROR($AE15*'Grundeinstellungen'!$J$21/'Grundeinstellungen'!$C$17,""))</f>
        <v/>
      </c>
      <c r="AG15" s="73">
        <f>IF(OR($B15="",$AF15=""),"",IF($AF15&lt;2300,"laminar",IF($AF15&lt;4000,"Übergangsbereich","turbulent")))</f>
        <v/>
      </c>
      <c r="AH15" s="74">
        <f>IF(OR($B15="",$AF15=""),"",IF($AF15&lt;2300,64/$AF15,0.316/$AF15^0.25))</f>
        <v/>
      </c>
      <c r="AI15" s="75">
        <f>IF(OR($B15="",$AH15="",$AB15=""),"",IFERROR($AH15*($AB15/'Grundeinstellungen'!$J$21)*('Grundeinstellungen'!$C$15/2)*$AE15^2,""))</f>
        <v/>
      </c>
      <c r="AJ15" s="76">
        <f>IF(OR($B15="",$AI15="",$AB15=""),"",IFERROR($AI15/$AB15,""))</f>
        <v/>
      </c>
      <c r="AK15" s="75">
        <f>IF(OR($B15="",$AI15=""),"",$AI15*(1+'Grundeinstellungen'!$C$24)+'Grundeinstellungen'!$C$25)</f>
        <v/>
      </c>
    </row>
    <row r="16">
      <c r="A16" s="51" t="n"/>
      <c r="B16" s="51" t="n"/>
      <c r="C16" s="51" t="n"/>
      <c r="D16" s="52" t="n"/>
      <c r="E16" s="53" t="n"/>
      <c r="F16" s="54" t="n"/>
      <c r="G16" s="55">
        <f>IF($B16="","",IFERROR($F16/$D16,""))</f>
        <v/>
      </c>
      <c r="H16" s="52" t="n"/>
      <c r="I16" s="56" t="n"/>
      <c r="J16" s="57" t="n"/>
      <c r="K16" s="58" t="n"/>
      <c r="L16" s="59" t="n"/>
      <c r="M16" s="60" t="n"/>
      <c r="N16" s="61">
        <f>IF($B16="","",IFERROR(('Grundeinstellungen'!$C$6-'Grundeinstellungen'!$C$7)/LN(('Grundeinstellungen'!$C$6-$E16)/('Grundeinstellungen'!$C$7-$E16)),""))</f>
        <v/>
      </c>
      <c r="O16" s="62">
        <f>IF($B16="","",IFERROR(IFERROR(INDEX('Konstanten'!$B$6:$B$10,MATCH($I16,'Konstanten'!$A$6:$A$10,1))+($I16-INDEX('Konstanten'!$A$6:$A$10,MATCH($I16,'Konstanten'!$A$6:$A$10,1)))/(INDEX('Konstanten'!$A$6:$A$10,MATCH($I16,'Konstanten'!$A$6:$A$10,1)+1)-INDEX('Konstanten'!$A$6:$A$10,MATCH($I16,'Konstanten'!$A$6:$A$10,1)))*(INDEX('Konstanten'!$B$6:$B$10,MATCH($I16,'Konstanten'!$A$6:$A$10,1)+1)-INDEX('Konstanten'!$B$6:$B$10,MATCH($I16,'Konstanten'!$A$6:$A$10,1))),INDEX('Konstanten'!$B$6:$B$10,MATCH($I16,'Konstanten'!$A$6:$A$10,1))),""))</f>
        <v/>
      </c>
      <c r="P16" s="62">
        <f>IF($B16="","",IFERROR(IFERROR(INDEX('Konstanten'!$C$6:$C$10,MATCH($I16,'Konstanten'!$A$6:$A$10,1))+($I16-INDEX('Konstanten'!$A$6:$A$10,MATCH($I16,'Konstanten'!$A$6:$A$10,1)))/(INDEX('Konstanten'!$A$6:$A$10,MATCH($I16,'Konstanten'!$A$6:$A$10,1)+1)-INDEX('Konstanten'!$A$6:$A$10,MATCH($I16,'Konstanten'!$A$6:$A$10,1)))*(INDEX('Konstanten'!$C$6:$C$10,MATCH($I16,'Konstanten'!$A$6:$A$10,1)+1)-INDEX('Konstanten'!$C$6:$C$10,MATCH($I16,'Konstanten'!$A$6:$A$10,1))),INDEX('Konstanten'!$C$6:$C$10,MATCH($I16,'Konstanten'!$A$6:$A$10,1))),""))</f>
        <v/>
      </c>
      <c r="Q16" s="63">
        <f>IF(OR($B16="",$N16="",$O16="",$P16=""),"",'Konstanten'!$C$13*$O16*$P16^(1-($J16/1000)/0.075)*'Konstanten'!$C$14^'Konstanten'!$C$16*'Konstanten'!$C$15^'Konstanten'!$C$17*$N16)</f>
        <v/>
      </c>
      <c r="R16" s="64">
        <f>IF(OR($B16="",$Q16=""),"",$E16+$Q16/'Grundeinstellungen'!$J$6)</f>
        <v/>
      </c>
      <c r="S16" s="64">
        <f>IF($B16="","",IFERROR(VLOOKUP($M16,'Konstanten'!$H$6:$I$13,2,FALSE),29))</f>
        <v/>
      </c>
      <c r="T16" s="65">
        <f>IF(OR($B16="",$Q16=""),"",$Q16*$H16)</f>
        <v/>
      </c>
      <c r="U16" s="66">
        <f>IF(OR($B16="",$T16=""),"",$T16-$F16)</f>
        <v/>
      </c>
      <c r="V16" s="67">
        <f>IF(OR($B16="",$T16=""),"",IFERROR($T16/$F16,""))</f>
        <v/>
      </c>
      <c r="W16" s="65">
        <f>IF(OR($B16="",$H16=""),"",'Grundeinstellungen'!$J$13*$H16)</f>
        <v/>
      </c>
      <c r="X16" s="65">
        <f>IF(OR($B16="",$T16=""),"",MIN($T16,$F16)+$W16)</f>
        <v/>
      </c>
      <c r="Y16" s="68">
        <f>IF($B16="","",IFERROR($H16/($J16/1000),""))</f>
        <v/>
      </c>
      <c r="Z16" s="68">
        <f>IF($B16="","",IFERROR(2*$L16*$K16,""))</f>
        <v/>
      </c>
      <c r="AA16" s="68">
        <f>IF(OR($B16="",$Y16="",$Z16=""),"",$Y16+$Z16)</f>
        <v/>
      </c>
      <c r="AB16" s="68">
        <f>IF(OR($B16="",$AA16=""),"",IFERROR($AA16/$K16,""))</f>
        <v/>
      </c>
      <c r="AC16" s="69">
        <f>IF(OR($B16="",$X16=""),"",IFERROR(($X16/$K16)/('Grundeinstellungen'!$C$16*('Grundeinstellungen'!$C$6-'Grundeinstellungen'!$C$7))*3600,""))</f>
        <v/>
      </c>
      <c r="AD16" s="70">
        <f>IF(OR($B16="",$AC16=""),"",$AC16/'Grundeinstellungen'!$C$15*1000)</f>
        <v/>
      </c>
      <c r="AE16" s="71">
        <f>IF(OR($B16="",$AC16=""),"",IFERROR($AC16/3600/'Grundeinstellungen'!$C$15/'Grundeinstellungen'!$J$22,""))</f>
        <v/>
      </c>
      <c r="AF16" s="72">
        <f>IF(OR($B16="",$AE16=""),"",IFERROR($AE16*'Grundeinstellungen'!$J$21/'Grundeinstellungen'!$C$17,""))</f>
        <v/>
      </c>
      <c r="AG16" s="73">
        <f>IF(OR($B16="",$AF16=""),"",IF($AF16&lt;2300,"laminar",IF($AF16&lt;4000,"Übergangsbereich","turbulent")))</f>
        <v/>
      </c>
      <c r="AH16" s="74">
        <f>IF(OR($B16="",$AF16=""),"",IF($AF16&lt;2300,64/$AF16,0.316/$AF16^0.25))</f>
        <v/>
      </c>
      <c r="AI16" s="75">
        <f>IF(OR($B16="",$AH16="",$AB16=""),"",IFERROR($AH16*($AB16/'Grundeinstellungen'!$J$21)*('Grundeinstellungen'!$C$15/2)*$AE16^2,""))</f>
        <v/>
      </c>
      <c r="AJ16" s="76">
        <f>IF(OR($B16="",$AI16="",$AB16=""),"",IFERROR($AI16/$AB16,""))</f>
        <v/>
      </c>
      <c r="AK16" s="75">
        <f>IF(OR($B16="",$AI16=""),"",$AI16*(1+'Grundeinstellungen'!$C$24)+'Grundeinstellungen'!$C$25)</f>
        <v/>
      </c>
    </row>
    <row r="17">
      <c r="A17" s="51" t="n"/>
      <c r="B17" s="51" t="n"/>
      <c r="C17" s="51" t="n"/>
      <c r="D17" s="52" t="n"/>
      <c r="E17" s="53" t="n"/>
      <c r="F17" s="54" t="n"/>
      <c r="G17" s="55">
        <f>IF($B17="","",IFERROR($F17/$D17,""))</f>
        <v/>
      </c>
      <c r="H17" s="52" t="n"/>
      <c r="I17" s="56" t="n"/>
      <c r="J17" s="57" t="n"/>
      <c r="K17" s="58" t="n"/>
      <c r="L17" s="59" t="n"/>
      <c r="M17" s="60" t="n"/>
      <c r="N17" s="61">
        <f>IF($B17="","",IFERROR(('Grundeinstellungen'!$C$6-'Grundeinstellungen'!$C$7)/LN(('Grundeinstellungen'!$C$6-$E17)/('Grundeinstellungen'!$C$7-$E17)),""))</f>
        <v/>
      </c>
      <c r="O17" s="62">
        <f>IF($B17="","",IFERROR(IFERROR(INDEX('Konstanten'!$B$6:$B$10,MATCH($I17,'Konstanten'!$A$6:$A$10,1))+($I17-INDEX('Konstanten'!$A$6:$A$10,MATCH($I17,'Konstanten'!$A$6:$A$10,1)))/(INDEX('Konstanten'!$A$6:$A$10,MATCH($I17,'Konstanten'!$A$6:$A$10,1)+1)-INDEX('Konstanten'!$A$6:$A$10,MATCH($I17,'Konstanten'!$A$6:$A$10,1)))*(INDEX('Konstanten'!$B$6:$B$10,MATCH($I17,'Konstanten'!$A$6:$A$10,1)+1)-INDEX('Konstanten'!$B$6:$B$10,MATCH($I17,'Konstanten'!$A$6:$A$10,1))),INDEX('Konstanten'!$B$6:$B$10,MATCH($I17,'Konstanten'!$A$6:$A$10,1))),""))</f>
        <v/>
      </c>
      <c r="P17" s="62">
        <f>IF($B17="","",IFERROR(IFERROR(INDEX('Konstanten'!$C$6:$C$10,MATCH($I17,'Konstanten'!$A$6:$A$10,1))+($I17-INDEX('Konstanten'!$A$6:$A$10,MATCH($I17,'Konstanten'!$A$6:$A$10,1)))/(INDEX('Konstanten'!$A$6:$A$10,MATCH($I17,'Konstanten'!$A$6:$A$10,1)+1)-INDEX('Konstanten'!$A$6:$A$10,MATCH($I17,'Konstanten'!$A$6:$A$10,1)))*(INDEX('Konstanten'!$C$6:$C$10,MATCH($I17,'Konstanten'!$A$6:$A$10,1)+1)-INDEX('Konstanten'!$C$6:$C$10,MATCH($I17,'Konstanten'!$A$6:$A$10,1))),INDEX('Konstanten'!$C$6:$C$10,MATCH($I17,'Konstanten'!$A$6:$A$10,1))),""))</f>
        <v/>
      </c>
      <c r="Q17" s="63">
        <f>IF(OR($B17="",$N17="",$O17="",$P17=""),"",'Konstanten'!$C$13*$O17*$P17^(1-($J17/1000)/0.075)*'Konstanten'!$C$14^'Konstanten'!$C$16*'Konstanten'!$C$15^'Konstanten'!$C$17*$N17)</f>
        <v/>
      </c>
      <c r="R17" s="64">
        <f>IF(OR($B17="",$Q17=""),"",$E17+$Q17/'Grundeinstellungen'!$J$6)</f>
        <v/>
      </c>
      <c r="S17" s="64">
        <f>IF($B17="","",IFERROR(VLOOKUP($M17,'Konstanten'!$H$6:$I$13,2,FALSE),29))</f>
        <v/>
      </c>
      <c r="T17" s="65">
        <f>IF(OR($B17="",$Q17=""),"",$Q17*$H17)</f>
        <v/>
      </c>
      <c r="U17" s="66">
        <f>IF(OR($B17="",$T17=""),"",$T17-$F17)</f>
        <v/>
      </c>
      <c r="V17" s="67">
        <f>IF(OR($B17="",$T17=""),"",IFERROR($T17/$F17,""))</f>
        <v/>
      </c>
      <c r="W17" s="65">
        <f>IF(OR($B17="",$H17=""),"",'Grundeinstellungen'!$J$13*$H17)</f>
        <v/>
      </c>
      <c r="X17" s="65">
        <f>IF(OR($B17="",$T17=""),"",MIN($T17,$F17)+$W17)</f>
        <v/>
      </c>
      <c r="Y17" s="68">
        <f>IF($B17="","",IFERROR($H17/($J17/1000),""))</f>
        <v/>
      </c>
      <c r="Z17" s="68">
        <f>IF($B17="","",IFERROR(2*$L17*$K17,""))</f>
        <v/>
      </c>
      <c r="AA17" s="68">
        <f>IF(OR($B17="",$Y17="",$Z17=""),"",$Y17+$Z17)</f>
        <v/>
      </c>
      <c r="AB17" s="68">
        <f>IF(OR($B17="",$AA17=""),"",IFERROR($AA17/$K17,""))</f>
        <v/>
      </c>
      <c r="AC17" s="69">
        <f>IF(OR($B17="",$X17=""),"",IFERROR(($X17/$K17)/('Grundeinstellungen'!$C$16*('Grundeinstellungen'!$C$6-'Grundeinstellungen'!$C$7))*3600,""))</f>
        <v/>
      </c>
      <c r="AD17" s="70">
        <f>IF(OR($B17="",$AC17=""),"",$AC17/'Grundeinstellungen'!$C$15*1000)</f>
        <v/>
      </c>
      <c r="AE17" s="71">
        <f>IF(OR($B17="",$AC17=""),"",IFERROR($AC17/3600/'Grundeinstellungen'!$C$15/'Grundeinstellungen'!$J$22,""))</f>
        <v/>
      </c>
      <c r="AF17" s="72">
        <f>IF(OR($B17="",$AE17=""),"",IFERROR($AE17*'Grundeinstellungen'!$J$21/'Grundeinstellungen'!$C$17,""))</f>
        <v/>
      </c>
      <c r="AG17" s="73">
        <f>IF(OR($B17="",$AF17=""),"",IF($AF17&lt;2300,"laminar",IF($AF17&lt;4000,"Übergangsbereich","turbulent")))</f>
        <v/>
      </c>
      <c r="AH17" s="74">
        <f>IF(OR($B17="",$AF17=""),"",IF($AF17&lt;2300,64/$AF17,0.316/$AF17^0.25))</f>
        <v/>
      </c>
      <c r="AI17" s="75">
        <f>IF(OR($B17="",$AH17="",$AB17=""),"",IFERROR($AH17*($AB17/'Grundeinstellungen'!$J$21)*('Grundeinstellungen'!$C$15/2)*$AE17^2,""))</f>
        <v/>
      </c>
      <c r="AJ17" s="76">
        <f>IF(OR($B17="",$AI17="",$AB17=""),"",IFERROR($AI17/$AB17,""))</f>
        <v/>
      </c>
      <c r="AK17" s="75">
        <f>IF(OR($B17="",$AI17=""),"",$AI17*(1+'Grundeinstellungen'!$C$24)+'Grundeinstellungen'!$C$25)</f>
        <v/>
      </c>
    </row>
    <row r="18">
      <c r="A18" s="51" t="n"/>
      <c r="B18" s="51" t="n"/>
      <c r="C18" s="51" t="n"/>
      <c r="D18" s="52" t="n"/>
      <c r="E18" s="53" t="n"/>
      <c r="F18" s="54" t="n"/>
      <c r="G18" s="55">
        <f>IF($B18="","",IFERROR($F18/$D18,""))</f>
        <v/>
      </c>
      <c r="H18" s="52" t="n"/>
      <c r="I18" s="56" t="n"/>
      <c r="J18" s="57" t="n"/>
      <c r="K18" s="58" t="n"/>
      <c r="L18" s="59" t="n"/>
      <c r="M18" s="60" t="n"/>
      <c r="N18" s="61">
        <f>IF($B18="","",IFERROR(('Grundeinstellungen'!$C$6-'Grundeinstellungen'!$C$7)/LN(('Grundeinstellungen'!$C$6-$E18)/('Grundeinstellungen'!$C$7-$E18)),""))</f>
        <v/>
      </c>
      <c r="O18" s="62">
        <f>IF($B18="","",IFERROR(IFERROR(INDEX('Konstanten'!$B$6:$B$10,MATCH($I18,'Konstanten'!$A$6:$A$10,1))+($I18-INDEX('Konstanten'!$A$6:$A$10,MATCH($I18,'Konstanten'!$A$6:$A$10,1)))/(INDEX('Konstanten'!$A$6:$A$10,MATCH($I18,'Konstanten'!$A$6:$A$10,1)+1)-INDEX('Konstanten'!$A$6:$A$10,MATCH($I18,'Konstanten'!$A$6:$A$10,1)))*(INDEX('Konstanten'!$B$6:$B$10,MATCH($I18,'Konstanten'!$A$6:$A$10,1)+1)-INDEX('Konstanten'!$B$6:$B$10,MATCH($I18,'Konstanten'!$A$6:$A$10,1))),INDEX('Konstanten'!$B$6:$B$10,MATCH($I18,'Konstanten'!$A$6:$A$10,1))),""))</f>
        <v/>
      </c>
      <c r="P18" s="62">
        <f>IF($B18="","",IFERROR(IFERROR(INDEX('Konstanten'!$C$6:$C$10,MATCH($I18,'Konstanten'!$A$6:$A$10,1))+($I18-INDEX('Konstanten'!$A$6:$A$10,MATCH($I18,'Konstanten'!$A$6:$A$10,1)))/(INDEX('Konstanten'!$A$6:$A$10,MATCH($I18,'Konstanten'!$A$6:$A$10,1)+1)-INDEX('Konstanten'!$A$6:$A$10,MATCH($I18,'Konstanten'!$A$6:$A$10,1)))*(INDEX('Konstanten'!$C$6:$C$10,MATCH($I18,'Konstanten'!$A$6:$A$10,1)+1)-INDEX('Konstanten'!$C$6:$C$10,MATCH($I18,'Konstanten'!$A$6:$A$10,1))),INDEX('Konstanten'!$C$6:$C$10,MATCH($I18,'Konstanten'!$A$6:$A$10,1))),""))</f>
        <v/>
      </c>
      <c r="Q18" s="63">
        <f>IF(OR($B18="",$N18="",$O18="",$P18=""),"",'Konstanten'!$C$13*$O18*$P18^(1-($J18/1000)/0.075)*'Konstanten'!$C$14^'Konstanten'!$C$16*'Konstanten'!$C$15^'Konstanten'!$C$17*$N18)</f>
        <v/>
      </c>
      <c r="R18" s="64">
        <f>IF(OR($B18="",$Q18=""),"",$E18+$Q18/'Grundeinstellungen'!$J$6)</f>
        <v/>
      </c>
      <c r="S18" s="64">
        <f>IF($B18="","",IFERROR(VLOOKUP($M18,'Konstanten'!$H$6:$I$13,2,FALSE),29))</f>
        <v/>
      </c>
      <c r="T18" s="65">
        <f>IF(OR($B18="",$Q18=""),"",$Q18*$H18)</f>
        <v/>
      </c>
      <c r="U18" s="66">
        <f>IF(OR($B18="",$T18=""),"",$T18-$F18)</f>
        <v/>
      </c>
      <c r="V18" s="67">
        <f>IF(OR($B18="",$T18=""),"",IFERROR($T18/$F18,""))</f>
        <v/>
      </c>
      <c r="W18" s="65">
        <f>IF(OR($B18="",$H18=""),"",'Grundeinstellungen'!$J$13*$H18)</f>
        <v/>
      </c>
      <c r="X18" s="65">
        <f>IF(OR($B18="",$T18=""),"",MIN($T18,$F18)+$W18)</f>
        <v/>
      </c>
      <c r="Y18" s="68">
        <f>IF($B18="","",IFERROR($H18/($J18/1000),""))</f>
        <v/>
      </c>
      <c r="Z18" s="68">
        <f>IF($B18="","",IFERROR(2*$L18*$K18,""))</f>
        <v/>
      </c>
      <c r="AA18" s="68">
        <f>IF(OR($B18="",$Y18="",$Z18=""),"",$Y18+$Z18)</f>
        <v/>
      </c>
      <c r="AB18" s="68">
        <f>IF(OR($B18="",$AA18=""),"",IFERROR($AA18/$K18,""))</f>
        <v/>
      </c>
      <c r="AC18" s="69">
        <f>IF(OR($B18="",$X18=""),"",IFERROR(($X18/$K18)/('Grundeinstellungen'!$C$16*('Grundeinstellungen'!$C$6-'Grundeinstellungen'!$C$7))*3600,""))</f>
        <v/>
      </c>
      <c r="AD18" s="70">
        <f>IF(OR($B18="",$AC18=""),"",$AC18/'Grundeinstellungen'!$C$15*1000)</f>
        <v/>
      </c>
      <c r="AE18" s="71">
        <f>IF(OR($B18="",$AC18=""),"",IFERROR($AC18/3600/'Grundeinstellungen'!$C$15/'Grundeinstellungen'!$J$22,""))</f>
        <v/>
      </c>
      <c r="AF18" s="72">
        <f>IF(OR($B18="",$AE18=""),"",IFERROR($AE18*'Grundeinstellungen'!$J$21/'Grundeinstellungen'!$C$17,""))</f>
        <v/>
      </c>
      <c r="AG18" s="73">
        <f>IF(OR($B18="",$AF18=""),"",IF($AF18&lt;2300,"laminar",IF($AF18&lt;4000,"Übergangsbereich","turbulent")))</f>
        <v/>
      </c>
      <c r="AH18" s="74">
        <f>IF(OR($B18="",$AF18=""),"",IF($AF18&lt;2300,64/$AF18,0.316/$AF18^0.25))</f>
        <v/>
      </c>
      <c r="AI18" s="75">
        <f>IF(OR($B18="",$AH18="",$AB18=""),"",IFERROR($AH18*($AB18/'Grundeinstellungen'!$J$21)*('Grundeinstellungen'!$C$15/2)*$AE18^2,""))</f>
        <v/>
      </c>
      <c r="AJ18" s="76">
        <f>IF(OR($B18="",$AI18="",$AB18=""),"",IFERROR($AI18/$AB18,""))</f>
        <v/>
      </c>
      <c r="AK18" s="75">
        <f>IF(OR($B18="",$AI18=""),"",$AI18*(1+'Grundeinstellungen'!$C$24)+'Grundeinstellungen'!$C$25)</f>
        <v/>
      </c>
    </row>
    <row r="19">
      <c r="A19" s="51" t="n"/>
      <c r="B19" s="51" t="n"/>
      <c r="C19" s="51" t="n"/>
      <c r="D19" s="52" t="n"/>
      <c r="E19" s="53" t="n"/>
      <c r="F19" s="54" t="n"/>
      <c r="G19" s="55">
        <f>IF($B19="","",IFERROR($F19/$D19,""))</f>
        <v/>
      </c>
      <c r="H19" s="52" t="n"/>
      <c r="I19" s="56" t="n"/>
      <c r="J19" s="57" t="n"/>
      <c r="K19" s="58" t="n"/>
      <c r="L19" s="59" t="n"/>
      <c r="M19" s="60" t="n"/>
      <c r="N19" s="61">
        <f>IF($B19="","",IFERROR(('Grundeinstellungen'!$C$6-'Grundeinstellungen'!$C$7)/LN(('Grundeinstellungen'!$C$6-$E19)/('Grundeinstellungen'!$C$7-$E19)),""))</f>
        <v/>
      </c>
      <c r="O19" s="62">
        <f>IF($B19="","",IFERROR(IFERROR(INDEX('Konstanten'!$B$6:$B$10,MATCH($I19,'Konstanten'!$A$6:$A$10,1))+($I19-INDEX('Konstanten'!$A$6:$A$10,MATCH($I19,'Konstanten'!$A$6:$A$10,1)))/(INDEX('Konstanten'!$A$6:$A$10,MATCH($I19,'Konstanten'!$A$6:$A$10,1)+1)-INDEX('Konstanten'!$A$6:$A$10,MATCH($I19,'Konstanten'!$A$6:$A$10,1)))*(INDEX('Konstanten'!$B$6:$B$10,MATCH($I19,'Konstanten'!$A$6:$A$10,1)+1)-INDEX('Konstanten'!$B$6:$B$10,MATCH($I19,'Konstanten'!$A$6:$A$10,1))),INDEX('Konstanten'!$B$6:$B$10,MATCH($I19,'Konstanten'!$A$6:$A$10,1))),""))</f>
        <v/>
      </c>
      <c r="P19" s="62">
        <f>IF($B19="","",IFERROR(IFERROR(INDEX('Konstanten'!$C$6:$C$10,MATCH($I19,'Konstanten'!$A$6:$A$10,1))+($I19-INDEX('Konstanten'!$A$6:$A$10,MATCH($I19,'Konstanten'!$A$6:$A$10,1)))/(INDEX('Konstanten'!$A$6:$A$10,MATCH($I19,'Konstanten'!$A$6:$A$10,1)+1)-INDEX('Konstanten'!$A$6:$A$10,MATCH($I19,'Konstanten'!$A$6:$A$10,1)))*(INDEX('Konstanten'!$C$6:$C$10,MATCH($I19,'Konstanten'!$A$6:$A$10,1)+1)-INDEX('Konstanten'!$C$6:$C$10,MATCH($I19,'Konstanten'!$A$6:$A$10,1))),INDEX('Konstanten'!$C$6:$C$10,MATCH($I19,'Konstanten'!$A$6:$A$10,1))),""))</f>
        <v/>
      </c>
      <c r="Q19" s="63">
        <f>IF(OR($B19="",$N19="",$O19="",$P19=""),"",'Konstanten'!$C$13*$O19*$P19^(1-($J19/1000)/0.075)*'Konstanten'!$C$14^'Konstanten'!$C$16*'Konstanten'!$C$15^'Konstanten'!$C$17*$N19)</f>
        <v/>
      </c>
      <c r="R19" s="64">
        <f>IF(OR($B19="",$Q19=""),"",$E19+$Q19/'Grundeinstellungen'!$J$6)</f>
        <v/>
      </c>
      <c r="S19" s="64">
        <f>IF($B19="","",IFERROR(VLOOKUP($M19,'Konstanten'!$H$6:$I$13,2,FALSE),29))</f>
        <v/>
      </c>
      <c r="T19" s="65">
        <f>IF(OR($B19="",$Q19=""),"",$Q19*$H19)</f>
        <v/>
      </c>
      <c r="U19" s="66">
        <f>IF(OR($B19="",$T19=""),"",$T19-$F19)</f>
        <v/>
      </c>
      <c r="V19" s="67">
        <f>IF(OR($B19="",$T19=""),"",IFERROR($T19/$F19,""))</f>
        <v/>
      </c>
      <c r="W19" s="65">
        <f>IF(OR($B19="",$H19=""),"",'Grundeinstellungen'!$J$13*$H19)</f>
        <v/>
      </c>
      <c r="X19" s="65">
        <f>IF(OR($B19="",$T19=""),"",MIN($T19,$F19)+$W19)</f>
        <v/>
      </c>
      <c r="Y19" s="68">
        <f>IF($B19="","",IFERROR($H19/($J19/1000),""))</f>
        <v/>
      </c>
      <c r="Z19" s="68">
        <f>IF($B19="","",IFERROR(2*$L19*$K19,""))</f>
        <v/>
      </c>
      <c r="AA19" s="68">
        <f>IF(OR($B19="",$Y19="",$Z19=""),"",$Y19+$Z19)</f>
        <v/>
      </c>
      <c r="AB19" s="68">
        <f>IF(OR($B19="",$AA19=""),"",IFERROR($AA19/$K19,""))</f>
        <v/>
      </c>
      <c r="AC19" s="69">
        <f>IF(OR($B19="",$X19=""),"",IFERROR(($X19/$K19)/('Grundeinstellungen'!$C$16*('Grundeinstellungen'!$C$6-'Grundeinstellungen'!$C$7))*3600,""))</f>
        <v/>
      </c>
      <c r="AD19" s="70">
        <f>IF(OR($B19="",$AC19=""),"",$AC19/'Grundeinstellungen'!$C$15*1000)</f>
        <v/>
      </c>
      <c r="AE19" s="71">
        <f>IF(OR($B19="",$AC19=""),"",IFERROR($AC19/3600/'Grundeinstellungen'!$C$15/'Grundeinstellungen'!$J$22,""))</f>
        <v/>
      </c>
      <c r="AF19" s="72">
        <f>IF(OR($B19="",$AE19=""),"",IFERROR($AE19*'Grundeinstellungen'!$J$21/'Grundeinstellungen'!$C$17,""))</f>
        <v/>
      </c>
      <c r="AG19" s="73">
        <f>IF(OR($B19="",$AF19=""),"",IF($AF19&lt;2300,"laminar",IF($AF19&lt;4000,"Übergangsbereich","turbulent")))</f>
        <v/>
      </c>
      <c r="AH19" s="74">
        <f>IF(OR($B19="",$AF19=""),"",IF($AF19&lt;2300,64/$AF19,0.316/$AF19^0.25))</f>
        <v/>
      </c>
      <c r="AI19" s="75">
        <f>IF(OR($B19="",$AH19="",$AB19=""),"",IFERROR($AH19*($AB19/'Grundeinstellungen'!$J$21)*('Grundeinstellungen'!$C$15/2)*$AE19^2,""))</f>
        <v/>
      </c>
      <c r="AJ19" s="76">
        <f>IF(OR($B19="",$AI19="",$AB19=""),"",IFERROR($AI19/$AB19,""))</f>
        <v/>
      </c>
      <c r="AK19" s="75">
        <f>IF(OR($B19="",$AI19=""),"",$AI19*(1+'Grundeinstellungen'!$C$24)+'Grundeinstellungen'!$C$25)</f>
        <v/>
      </c>
    </row>
    <row r="20">
      <c r="A20" s="51" t="n"/>
      <c r="B20" s="51" t="n"/>
      <c r="C20" s="51" t="n"/>
      <c r="D20" s="52" t="n"/>
      <c r="E20" s="53" t="n"/>
      <c r="F20" s="54" t="n"/>
      <c r="G20" s="55">
        <f>IF($B20="","",IFERROR($F20/$D20,""))</f>
        <v/>
      </c>
      <c r="H20" s="52" t="n"/>
      <c r="I20" s="56" t="n"/>
      <c r="J20" s="57" t="n"/>
      <c r="K20" s="58" t="n"/>
      <c r="L20" s="59" t="n"/>
      <c r="M20" s="60" t="n"/>
      <c r="N20" s="61">
        <f>IF($B20="","",IFERROR(('Grundeinstellungen'!$C$6-'Grundeinstellungen'!$C$7)/LN(('Grundeinstellungen'!$C$6-$E20)/('Grundeinstellungen'!$C$7-$E20)),""))</f>
        <v/>
      </c>
      <c r="O20" s="62">
        <f>IF($B20="","",IFERROR(IFERROR(INDEX('Konstanten'!$B$6:$B$10,MATCH($I20,'Konstanten'!$A$6:$A$10,1))+($I20-INDEX('Konstanten'!$A$6:$A$10,MATCH($I20,'Konstanten'!$A$6:$A$10,1)))/(INDEX('Konstanten'!$A$6:$A$10,MATCH($I20,'Konstanten'!$A$6:$A$10,1)+1)-INDEX('Konstanten'!$A$6:$A$10,MATCH($I20,'Konstanten'!$A$6:$A$10,1)))*(INDEX('Konstanten'!$B$6:$B$10,MATCH($I20,'Konstanten'!$A$6:$A$10,1)+1)-INDEX('Konstanten'!$B$6:$B$10,MATCH($I20,'Konstanten'!$A$6:$A$10,1))),INDEX('Konstanten'!$B$6:$B$10,MATCH($I20,'Konstanten'!$A$6:$A$10,1))),""))</f>
        <v/>
      </c>
      <c r="P20" s="62">
        <f>IF($B20="","",IFERROR(IFERROR(INDEX('Konstanten'!$C$6:$C$10,MATCH($I20,'Konstanten'!$A$6:$A$10,1))+($I20-INDEX('Konstanten'!$A$6:$A$10,MATCH($I20,'Konstanten'!$A$6:$A$10,1)))/(INDEX('Konstanten'!$A$6:$A$10,MATCH($I20,'Konstanten'!$A$6:$A$10,1)+1)-INDEX('Konstanten'!$A$6:$A$10,MATCH($I20,'Konstanten'!$A$6:$A$10,1)))*(INDEX('Konstanten'!$C$6:$C$10,MATCH($I20,'Konstanten'!$A$6:$A$10,1)+1)-INDEX('Konstanten'!$C$6:$C$10,MATCH($I20,'Konstanten'!$A$6:$A$10,1))),INDEX('Konstanten'!$C$6:$C$10,MATCH($I20,'Konstanten'!$A$6:$A$10,1))),""))</f>
        <v/>
      </c>
      <c r="Q20" s="63">
        <f>IF(OR($B20="",$N20="",$O20="",$P20=""),"",'Konstanten'!$C$13*$O20*$P20^(1-($J20/1000)/0.075)*'Konstanten'!$C$14^'Konstanten'!$C$16*'Konstanten'!$C$15^'Konstanten'!$C$17*$N20)</f>
        <v/>
      </c>
      <c r="R20" s="64">
        <f>IF(OR($B20="",$Q20=""),"",$E20+$Q20/'Grundeinstellungen'!$J$6)</f>
        <v/>
      </c>
      <c r="S20" s="64">
        <f>IF($B20="","",IFERROR(VLOOKUP($M20,'Konstanten'!$H$6:$I$13,2,FALSE),29))</f>
        <v/>
      </c>
      <c r="T20" s="65">
        <f>IF(OR($B20="",$Q20=""),"",$Q20*$H20)</f>
        <v/>
      </c>
      <c r="U20" s="66">
        <f>IF(OR($B20="",$T20=""),"",$T20-$F20)</f>
        <v/>
      </c>
      <c r="V20" s="67">
        <f>IF(OR($B20="",$T20=""),"",IFERROR($T20/$F20,""))</f>
        <v/>
      </c>
      <c r="W20" s="65">
        <f>IF(OR($B20="",$H20=""),"",'Grundeinstellungen'!$J$13*$H20)</f>
        <v/>
      </c>
      <c r="X20" s="65">
        <f>IF(OR($B20="",$T20=""),"",MIN($T20,$F20)+$W20)</f>
        <v/>
      </c>
      <c r="Y20" s="68">
        <f>IF($B20="","",IFERROR($H20/($J20/1000),""))</f>
        <v/>
      </c>
      <c r="Z20" s="68">
        <f>IF($B20="","",IFERROR(2*$L20*$K20,""))</f>
        <v/>
      </c>
      <c r="AA20" s="68">
        <f>IF(OR($B20="",$Y20="",$Z20=""),"",$Y20+$Z20)</f>
        <v/>
      </c>
      <c r="AB20" s="68">
        <f>IF(OR($B20="",$AA20=""),"",IFERROR($AA20/$K20,""))</f>
        <v/>
      </c>
      <c r="AC20" s="69">
        <f>IF(OR($B20="",$X20=""),"",IFERROR(($X20/$K20)/('Grundeinstellungen'!$C$16*('Grundeinstellungen'!$C$6-'Grundeinstellungen'!$C$7))*3600,""))</f>
        <v/>
      </c>
      <c r="AD20" s="70">
        <f>IF(OR($B20="",$AC20=""),"",$AC20/'Grundeinstellungen'!$C$15*1000)</f>
        <v/>
      </c>
      <c r="AE20" s="71">
        <f>IF(OR($B20="",$AC20=""),"",IFERROR($AC20/3600/'Grundeinstellungen'!$C$15/'Grundeinstellungen'!$J$22,""))</f>
        <v/>
      </c>
      <c r="AF20" s="72">
        <f>IF(OR($B20="",$AE20=""),"",IFERROR($AE20*'Grundeinstellungen'!$J$21/'Grundeinstellungen'!$C$17,""))</f>
        <v/>
      </c>
      <c r="AG20" s="73">
        <f>IF(OR($B20="",$AF20=""),"",IF($AF20&lt;2300,"laminar",IF($AF20&lt;4000,"Übergangsbereich","turbulent")))</f>
        <v/>
      </c>
      <c r="AH20" s="74">
        <f>IF(OR($B20="",$AF20=""),"",IF($AF20&lt;2300,64/$AF20,0.316/$AF20^0.25))</f>
        <v/>
      </c>
      <c r="AI20" s="75">
        <f>IF(OR($B20="",$AH20="",$AB20=""),"",IFERROR($AH20*($AB20/'Grundeinstellungen'!$J$21)*('Grundeinstellungen'!$C$15/2)*$AE20^2,""))</f>
        <v/>
      </c>
      <c r="AJ20" s="76">
        <f>IF(OR($B20="",$AI20="",$AB20=""),"",IFERROR($AI20/$AB20,""))</f>
        <v/>
      </c>
      <c r="AK20" s="75">
        <f>IF(OR($B20="",$AI20=""),"",$AI20*(1+'Grundeinstellungen'!$C$24)+'Grundeinstellungen'!$C$25)</f>
        <v/>
      </c>
    </row>
    <row r="21">
      <c r="A21" s="51" t="n"/>
      <c r="B21" s="51" t="n"/>
      <c r="C21" s="51" t="n"/>
      <c r="D21" s="52" t="n"/>
      <c r="E21" s="53" t="n"/>
      <c r="F21" s="54" t="n"/>
      <c r="G21" s="55">
        <f>IF($B21="","",IFERROR($F21/$D21,""))</f>
        <v/>
      </c>
      <c r="H21" s="52" t="n"/>
      <c r="I21" s="56" t="n"/>
      <c r="J21" s="57" t="n"/>
      <c r="K21" s="58" t="n"/>
      <c r="L21" s="59" t="n"/>
      <c r="M21" s="60" t="n"/>
      <c r="N21" s="61">
        <f>IF($B21="","",IFERROR(('Grundeinstellungen'!$C$6-'Grundeinstellungen'!$C$7)/LN(('Grundeinstellungen'!$C$6-$E21)/('Grundeinstellungen'!$C$7-$E21)),""))</f>
        <v/>
      </c>
      <c r="O21" s="62">
        <f>IF($B21="","",IFERROR(IFERROR(INDEX('Konstanten'!$B$6:$B$10,MATCH($I21,'Konstanten'!$A$6:$A$10,1))+($I21-INDEX('Konstanten'!$A$6:$A$10,MATCH($I21,'Konstanten'!$A$6:$A$10,1)))/(INDEX('Konstanten'!$A$6:$A$10,MATCH($I21,'Konstanten'!$A$6:$A$10,1)+1)-INDEX('Konstanten'!$A$6:$A$10,MATCH($I21,'Konstanten'!$A$6:$A$10,1)))*(INDEX('Konstanten'!$B$6:$B$10,MATCH($I21,'Konstanten'!$A$6:$A$10,1)+1)-INDEX('Konstanten'!$B$6:$B$10,MATCH($I21,'Konstanten'!$A$6:$A$10,1))),INDEX('Konstanten'!$B$6:$B$10,MATCH($I21,'Konstanten'!$A$6:$A$10,1))),""))</f>
        <v/>
      </c>
      <c r="P21" s="62">
        <f>IF($B21="","",IFERROR(IFERROR(INDEX('Konstanten'!$C$6:$C$10,MATCH($I21,'Konstanten'!$A$6:$A$10,1))+($I21-INDEX('Konstanten'!$A$6:$A$10,MATCH($I21,'Konstanten'!$A$6:$A$10,1)))/(INDEX('Konstanten'!$A$6:$A$10,MATCH($I21,'Konstanten'!$A$6:$A$10,1)+1)-INDEX('Konstanten'!$A$6:$A$10,MATCH($I21,'Konstanten'!$A$6:$A$10,1)))*(INDEX('Konstanten'!$C$6:$C$10,MATCH($I21,'Konstanten'!$A$6:$A$10,1)+1)-INDEX('Konstanten'!$C$6:$C$10,MATCH($I21,'Konstanten'!$A$6:$A$10,1))),INDEX('Konstanten'!$C$6:$C$10,MATCH($I21,'Konstanten'!$A$6:$A$10,1))),""))</f>
        <v/>
      </c>
      <c r="Q21" s="63">
        <f>IF(OR($B21="",$N21="",$O21="",$P21=""),"",'Konstanten'!$C$13*$O21*$P21^(1-($J21/1000)/0.075)*'Konstanten'!$C$14^'Konstanten'!$C$16*'Konstanten'!$C$15^'Konstanten'!$C$17*$N21)</f>
        <v/>
      </c>
      <c r="R21" s="64">
        <f>IF(OR($B21="",$Q21=""),"",$E21+$Q21/'Grundeinstellungen'!$J$6)</f>
        <v/>
      </c>
      <c r="S21" s="64">
        <f>IF($B21="","",IFERROR(VLOOKUP($M21,'Konstanten'!$H$6:$I$13,2,FALSE),29))</f>
        <v/>
      </c>
      <c r="T21" s="65">
        <f>IF(OR($B21="",$Q21=""),"",$Q21*$H21)</f>
        <v/>
      </c>
      <c r="U21" s="66">
        <f>IF(OR($B21="",$T21=""),"",$T21-$F21)</f>
        <v/>
      </c>
      <c r="V21" s="67">
        <f>IF(OR($B21="",$T21=""),"",IFERROR($T21/$F21,""))</f>
        <v/>
      </c>
      <c r="W21" s="65">
        <f>IF(OR($B21="",$H21=""),"",'Grundeinstellungen'!$J$13*$H21)</f>
        <v/>
      </c>
      <c r="X21" s="65">
        <f>IF(OR($B21="",$T21=""),"",MIN($T21,$F21)+$W21)</f>
        <v/>
      </c>
      <c r="Y21" s="68">
        <f>IF($B21="","",IFERROR($H21/($J21/1000),""))</f>
        <v/>
      </c>
      <c r="Z21" s="68">
        <f>IF($B21="","",IFERROR(2*$L21*$K21,""))</f>
        <v/>
      </c>
      <c r="AA21" s="68">
        <f>IF(OR($B21="",$Y21="",$Z21=""),"",$Y21+$Z21)</f>
        <v/>
      </c>
      <c r="AB21" s="68">
        <f>IF(OR($B21="",$AA21=""),"",IFERROR($AA21/$K21,""))</f>
        <v/>
      </c>
      <c r="AC21" s="69">
        <f>IF(OR($B21="",$X21=""),"",IFERROR(($X21/$K21)/('Grundeinstellungen'!$C$16*('Grundeinstellungen'!$C$6-'Grundeinstellungen'!$C$7))*3600,""))</f>
        <v/>
      </c>
      <c r="AD21" s="70">
        <f>IF(OR($B21="",$AC21=""),"",$AC21/'Grundeinstellungen'!$C$15*1000)</f>
        <v/>
      </c>
      <c r="AE21" s="71">
        <f>IF(OR($B21="",$AC21=""),"",IFERROR($AC21/3600/'Grundeinstellungen'!$C$15/'Grundeinstellungen'!$J$22,""))</f>
        <v/>
      </c>
      <c r="AF21" s="72">
        <f>IF(OR($B21="",$AE21=""),"",IFERROR($AE21*'Grundeinstellungen'!$J$21/'Grundeinstellungen'!$C$17,""))</f>
        <v/>
      </c>
      <c r="AG21" s="73">
        <f>IF(OR($B21="",$AF21=""),"",IF($AF21&lt;2300,"laminar",IF($AF21&lt;4000,"Übergangsbereich","turbulent")))</f>
        <v/>
      </c>
      <c r="AH21" s="74">
        <f>IF(OR($B21="",$AF21=""),"",IF($AF21&lt;2300,64/$AF21,0.316/$AF21^0.25))</f>
        <v/>
      </c>
      <c r="AI21" s="75">
        <f>IF(OR($B21="",$AH21="",$AB21=""),"",IFERROR($AH21*($AB21/'Grundeinstellungen'!$J$21)*('Grundeinstellungen'!$C$15/2)*$AE21^2,""))</f>
        <v/>
      </c>
      <c r="AJ21" s="76">
        <f>IF(OR($B21="",$AI21="",$AB21=""),"",IFERROR($AI21/$AB21,""))</f>
        <v/>
      </c>
      <c r="AK21" s="75">
        <f>IF(OR($B21="",$AI21=""),"",$AI21*(1+'Grundeinstellungen'!$C$24)+'Grundeinstellungen'!$C$25)</f>
        <v/>
      </c>
    </row>
    <row r="22">
      <c r="A22" s="51" t="n"/>
      <c r="B22" s="51" t="n"/>
      <c r="C22" s="51" t="n"/>
      <c r="D22" s="52" t="n"/>
      <c r="E22" s="53" t="n"/>
      <c r="F22" s="54" t="n"/>
      <c r="G22" s="55">
        <f>IF($B22="","",IFERROR($F22/$D22,""))</f>
        <v/>
      </c>
      <c r="H22" s="52" t="n"/>
      <c r="I22" s="56" t="n"/>
      <c r="J22" s="57" t="n"/>
      <c r="K22" s="58" t="n"/>
      <c r="L22" s="59" t="n"/>
      <c r="M22" s="60" t="n"/>
      <c r="N22" s="61">
        <f>IF($B22="","",IFERROR(('Grundeinstellungen'!$C$6-'Grundeinstellungen'!$C$7)/LN(('Grundeinstellungen'!$C$6-$E22)/('Grundeinstellungen'!$C$7-$E22)),""))</f>
        <v/>
      </c>
      <c r="O22" s="62">
        <f>IF($B22="","",IFERROR(IFERROR(INDEX('Konstanten'!$B$6:$B$10,MATCH($I22,'Konstanten'!$A$6:$A$10,1))+($I22-INDEX('Konstanten'!$A$6:$A$10,MATCH($I22,'Konstanten'!$A$6:$A$10,1)))/(INDEX('Konstanten'!$A$6:$A$10,MATCH($I22,'Konstanten'!$A$6:$A$10,1)+1)-INDEX('Konstanten'!$A$6:$A$10,MATCH($I22,'Konstanten'!$A$6:$A$10,1)))*(INDEX('Konstanten'!$B$6:$B$10,MATCH($I22,'Konstanten'!$A$6:$A$10,1)+1)-INDEX('Konstanten'!$B$6:$B$10,MATCH($I22,'Konstanten'!$A$6:$A$10,1))),INDEX('Konstanten'!$B$6:$B$10,MATCH($I22,'Konstanten'!$A$6:$A$10,1))),""))</f>
        <v/>
      </c>
      <c r="P22" s="62">
        <f>IF($B22="","",IFERROR(IFERROR(INDEX('Konstanten'!$C$6:$C$10,MATCH($I22,'Konstanten'!$A$6:$A$10,1))+($I22-INDEX('Konstanten'!$A$6:$A$10,MATCH($I22,'Konstanten'!$A$6:$A$10,1)))/(INDEX('Konstanten'!$A$6:$A$10,MATCH($I22,'Konstanten'!$A$6:$A$10,1)+1)-INDEX('Konstanten'!$A$6:$A$10,MATCH($I22,'Konstanten'!$A$6:$A$10,1)))*(INDEX('Konstanten'!$C$6:$C$10,MATCH($I22,'Konstanten'!$A$6:$A$10,1)+1)-INDEX('Konstanten'!$C$6:$C$10,MATCH($I22,'Konstanten'!$A$6:$A$10,1))),INDEX('Konstanten'!$C$6:$C$10,MATCH($I22,'Konstanten'!$A$6:$A$10,1))),""))</f>
        <v/>
      </c>
      <c r="Q22" s="63">
        <f>IF(OR($B22="",$N22="",$O22="",$P22=""),"",'Konstanten'!$C$13*$O22*$P22^(1-($J22/1000)/0.075)*'Konstanten'!$C$14^'Konstanten'!$C$16*'Konstanten'!$C$15^'Konstanten'!$C$17*$N22)</f>
        <v/>
      </c>
      <c r="R22" s="64">
        <f>IF(OR($B22="",$Q22=""),"",$E22+$Q22/'Grundeinstellungen'!$J$6)</f>
        <v/>
      </c>
      <c r="S22" s="64">
        <f>IF($B22="","",IFERROR(VLOOKUP($M22,'Konstanten'!$H$6:$I$13,2,FALSE),29))</f>
        <v/>
      </c>
      <c r="T22" s="65">
        <f>IF(OR($B22="",$Q22=""),"",$Q22*$H22)</f>
        <v/>
      </c>
      <c r="U22" s="66">
        <f>IF(OR($B22="",$T22=""),"",$T22-$F22)</f>
        <v/>
      </c>
      <c r="V22" s="67">
        <f>IF(OR($B22="",$T22=""),"",IFERROR($T22/$F22,""))</f>
        <v/>
      </c>
      <c r="W22" s="65">
        <f>IF(OR($B22="",$H22=""),"",'Grundeinstellungen'!$J$13*$H22)</f>
        <v/>
      </c>
      <c r="X22" s="65">
        <f>IF(OR($B22="",$T22=""),"",MIN($T22,$F22)+$W22)</f>
        <v/>
      </c>
      <c r="Y22" s="68">
        <f>IF($B22="","",IFERROR($H22/($J22/1000),""))</f>
        <v/>
      </c>
      <c r="Z22" s="68">
        <f>IF($B22="","",IFERROR(2*$L22*$K22,""))</f>
        <v/>
      </c>
      <c r="AA22" s="68">
        <f>IF(OR($B22="",$Y22="",$Z22=""),"",$Y22+$Z22)</f>
        <v/>
      </c>
      <c r="AB22" s="68">
        <f>IF(OR($B22="",$AA22=""),"",IFERROR($AA22/$K22,""))</f>
        <v/>
      </c>
      <c r="AC22" s="69">
        <f>IF(OR($B22="",$X22=""),"",IFERROR(($X22/$K22)/('Grundeinstellungen'!$C$16*('Grundeinstellungen'!$C$6-'Grundeinstellungen'!$C$7))*3600,""))</f>
        <v/>
      </c>
      <c r="AD22" s="70">
        <f>IF(OR($B22="",$AC22=""),"",$AC22/'Grundeinstellungen'!$C$15*1000)</f>
        <v/>
      </c>
      <c r="AE22" s="71">
        <f>IF(OR($B22="",$AC22=""),"",IFERROR($AC22/3600/'Grundeinstellungen'!$C$15/'Grundeinstellungen'!$J$22,""))</f>
        <v/>
      </c>
      <c r="AF22" s="72">
        <f>IF(OR($B22="",$AE22=""),"",IFERROR($AE22*'Grundeinstellungen'!$J$21/'Grundeinstellungen'!$C$17,""))</f>
        <v/>
      </c>
      <c r="AG22" s="73">
        <f>IF(OR($B22="",$AF22=""),"",IF($AF22&lt;2300,"laminar",IF($AF22&lt;4000,"Übergangsbereich","turbulent")))</f>
        <v/>
      </c>
      <c r="AH22" s="74">
        <f>IF(OR($B22="",$AF22=""),"",IF($AF22&lt;2300,64/$AF22,0.316/$AF22^0.25))</f>
        <v/>
      </c>
      <c r="AI22" s="75">
        <f>IF(OR($B22="",$AH22="",$AB22=""),"",IFERROR($AH22*($AB22/'Grundeinstellungen'!$J$21)*('Grundeinstellungen'!$C$15/2)*$AE22^2,""))</f>
        <v/>
      </c>
      <c r="AJ22" s="76">
        <f>IF(OR($B22="",$AI22="",$AB22=""),"",IFERROR($AI22/$AB22,""))</f>
        <v/>
      </c>
      <c r="AK22" s="75">
        <f>IF(OR($B22="",$AI22=""),"",$AI22*(1+'Grundeinstellungen'!$C$24)+'Grundeinstellungen'!$C$25)</f>
        <v/>
      </c>
    </row>
    <row r="23">
      <c r="A23" s="51" t="n"/>
      <c r="B23" s="51" t="n"/>
      <c r="C23" s="51" t="n"/>
      <c r="D23" s="52" t="n"/>
      <c r="E23" s="53" t="n"/>
      <c r="F23" s="54" t="n"/>
      <c r="G23" s="55">
        <f>IF($B23="","",IFERROR($F23/$D23,""))</f>
        <v/>
      </c>
      <c r="H23" s="52" t="n"/>
      <c r="I23" s="56" t="n"/>
      <c r="J23" s="57" t="n"/>
      <c r="K23" s="58" t="n"/>
      <c r="L23" s="59" t="n"/>
      <c r="M23" s="60" t="n"/>
      <c r="N23" s="61">
        <f>IF($B23="","",IFERROR(('Grundeinstellungen'!$C$6-'Grundeinstellungen'!$C$7)/LN(('Grundeinstellungen'!$C$6-$E23)/('Grundeinstellungen'!$C$7-$E23)),""))</f>
        <v/>
      </c>
      <c r="O23" s="62">
        <f>IF($B23="","",IFERROR(IFERROR(INDEX('Konstanten'!$B$6:$B$10,MATCH($I23,'Konstanten'!$A$6:$A$10,1))+($I23-INDEX('Konstanten'!$A$6:$A$10,MATCH($I23,'Konstanten'!$A$6:$A$10,1)))/(INDEX('Konstanten'!$A$6:$A$10,MATCH($I23,'Konstanten'!$A$6:$A$10,1)+1)-INDEX('Konstanten'!$A$6:$A$10,MATCH($I23,'Konstanten'!$A$6:$A$10,1)))*(INDEX('Konstanten'!$B$6:$B$10,MATCH($I23,'Konstanten'!$A$6:$A$10,1)+1)-INDEX('Konstanten'!$B$6:$B$10,MATCH($I23,'Konstanten'!$A$6:$A$10,1))),INDEX('Konstanten'!$B$6:$B$10,MATCH($I23,'Konstanten'!$A$6:$A$10,1))),""))</f>
        <v/>
      </c>
      <c r="P23" s="62">
        <f>IF($B23="","",IFERROR(IFERROR(INDEX('Konstanten'!$C$6:$C$10,MATCH($I23,'Konstanten'!$A$6:$A$10,1))+($I23-INDEX('Konstanten'!$A$6:$A$10,MATCH($I23,'Konstanten'!$A$6:$A$10,1)))/(INDEX('Konstanten'!$A$6:$A$10,MATCH($I23,'Konstanten'!$A$6:$A$10,1)+1)-INDEX('Konstanten'!$A$6:$A$10,MATCH($I23,'Konstanten'!$A$6:$A$10,1)))*(INDEX('Konstanten'!$C$6:$C$10,MATCH($I23,'Konstanten'!$A$6:$A$10,1)+1)-INDEX('Konstanten'!$C$6:$C$10,MATCH($I23,'Konstanten'!$A$6:$A$10,1))),INDEX('Konstanten'!$C$6:$C$10,MATCH($I23,'Konstanten'!$A$6:$A$10,1))),""))</f>
        <v/>
      </c>
      <c r="Q23" s="63">
        <f>IF(OR($B23="",$N23="",$O23="",$P23=""),"",'Konstanten'!$C$13*$O23*$P23^(1-($J23/1000)/0.075)*'Konstanten'!$C$14^'Konstanten'!$C$16*'Konstanten'!$C$15^'Konstanten'!$C$17*$N23)</f>
        <v/>
      </c>
      <c r="R23" s="64">
        <f>IF(OR($B23="",$Q23=""),"",$E23+$Q23/'Grundeinstellungen'!$J$6)</f>
        <v/>
      </c>
      <c r="S23" s="64">
        <f>IF($B23="","",IFERROR(VLOOKUP($M23,'Konstanten'!$H$6:$I$13,2,FALSE),29))</f>
        <v/>
      </c>
      <c r="T23" s="65">
        <f>IF(OR($B23="",$Q23=""),"",$Q23*$H23)</f>
        <v/>
      </c>
      <c r="U23" s="66">
        <f>IF(OR($B23="",$T23=""),"",$T23-$F23)</f>
        <v/>
      </c>
      <c r="V23" s="67">
        <f>IF(OR($B23="",$T23=""),"",IFERROR($T23/$F23,""))</f>
        <v/>
      </c>
      <c r="W23" s="65">
        <f>IF(OR($B23="",$H23=""),"",'Grundeinstellungen'!$J$13*$H23)</f>
        <v/>
      </c>
      <c r="X23" s="65">
        <f>IF(OR($B23="",$T23=""),"",MIN($T23,$F23)+$W23)</f>
        <v/>
      </c>
      <c r="Y23" s="68">
        <f>IF($B23="","",IFERROR($H23/($J23/1000),""))</f>
        <v/>
      </c>
      <c r="Z23" s="68">
        <f>IF($B23="","",IFERROR(2*$L23*$K23,""))</f>
        <v/>
      </c>
      <c r="AA23" s="68">
        <f>IF(OR($B23="",$Y23="",$Z23=""),"",$Y23+$Z23)</f>
        <v/>
      </c>
      <c r="AB23" s="68">
        <f>IF(OR($B23="",$AA23=""),"",IFERROR($AA23/$K23,""))</f>
        <v/>
      </c>
      <c r="AC23" s="69">
        <f>IF(OR($B23="",$X23=""),"",IFERROR(($X23/$K23)/('Grundeinstellungen'!$C$16*('Grundeinstellungen'!$C$6-'Grundeinstellungen'!$C$7))*3600,""))</f>
        <v/>
      </c>
      <c r="AD23" s="70">
        <f>IF(OR($B23="",$AC23=""),"",$AC23/'Grundeinstellungen'!$C$15*1000)</f>
        <v/>
      </c>
      <c r="AE23" s="71">
        <f>IF(OR($B23="",$AC23=""),"",IFERROR($AC23/3600/'Grundeinstellungen'!$C$15/'Grundeinstellungen'!$J$22,""))</f>
        <v/>
      </c>
      <c r="AF23" s="72">
        <f>IF(OR($B23="",$AE23=""),"",IFERROR($AE23*'Grundeinstellungen'!$J$21/'Grundeinstellungen'!$C$17,""))</f>
        <v/>
      </c>
      <c r="AG23" s="73">
        <f>IF(OR($B23="",$AF23=""),"",IF($AF23&lt;2300,"laminar",IF($AF23&lt;4000,"Übergangsbereich","turbulent")))</f>
        <v/>
      </c>
      <c r="AH23" s="74">
        <f>IF(OR($B23="",$AF23=""),"",IF($AF23&lt;2300,64/$AF23,0.316/$AF23^0.25))</f>
        <v/>
      </c>
      <c r="AI23" s="75">
        <f>IF(OR($B23="",$AH23="",$AB23=""),"",IFERROR($AH23*($AB23/'Grundeinstellungen'!$J$21)*('Grundeinstellungen'!$C$15/2)*$AE23^2,""))</f>
        <v/>
      </c>
      <c r="AJ23" s="76">
        <f>IF(OR($B23="",$AI23="",$AB23=""),"",IFERROR($AI23/$AB23,""))</f>
        <v/>
      </c>
      <c r="AK23" s="75">
        <f>IF(OR($B23="",$AI23=""),"",$AI23*(1+'Grundeinstellungen'!$C$24)+'Grundeinstellungen'!$C$25)</f>
        <v/>
      </c>
    </row>
    <row r="24">
      <c r="A24" s="51" t="n"/>
      <c r="B24" s="51" t="n"/>
      <c r="C24" s="51" t="n"/>
      <c r="D24" s="52" t="n"/>
      <c r="E24" s="53" t="n"/>
      <c r="F24" s="54" t="n"/>
      <c r="G24" s="55">
        <f>IF($B24="","",IFERROR($F24/$D24,""))</f>
        <v/>
      </c>
      <c r="H24" s="52" t="n"/>
      <c r="I24" s="56" t="n"/>
      <c r="J24" s="57" t="n"/>
      <c r="K24" s="58" t="n"/>
      <c r="L24" s="59" t="n"/>
      <c r="M24" s="60" t="n"/>
      <c r="N24" s="61">
        <f>IF($B24="","",IFERROR(('Grundeinstellungen'!$C$6-'Grundeinstellungen'!$C$7)/LN(('Grundeinstellungen'!$C$6-$E24)/('Grundeinstellungen'!$C$7-$E24)),""))</f>
        <v/>
      </c>
      <c r="O24" s="62">
        <f>IF($B24="","",IFERROR(IFERROR(INDEX('Konstanten'!$B$6:$B$10,MATCH($I24,'Konstanten'!$A$6:$A$10,1))+($I24-INDEX('Konstanten'!$A$6:$A$10,MATCH($I24,'Konstanten'!$A$6:$A$10,1)))/(INDEX('Konstanten'!$A$6:$A$10,MATCH($I24,'Konstanten'!$A$6:$A$10,1)+1)-INDEX('Konstanten'!$A$6:$A$10,MATCH($I24,'Konstanten'!$A$6:$A$10,1)))*(INDEX('Konstanten'!$B$6:$B$10,MATCH($I24,'Konstanten'!$A$6:$A$10,1)+1)-INDEX('Konstanten'!$B$6:$B$10,MATCH($I24,'Konstanten'!$A$6:$A$10,1))),INDEX('Konstanten'!$B$6:$B$10,MATCH($I24,'Konstanten'!$A$6:$A$10,1))),""))</f>
        <v/>
      </c>
      <c r="P24" s="62">
        <f>IF($B24="","",IFERROR(IFERROR(INDEX('Konstanten'!$C$6:$C$10,MATCH($I24,'Konstanten'!$A$6:$A$10,1))+($I24-INDEX('Konstanten'!$A$6:$A$10,MATCH($I24,'Konstanten'!$A$6:$A$10,1)))/(INDEX('Konstanten'!$A$6:$A$10,MATCH($I24,'Konstanten'!$A$6:$A$10,1)+1)-INDEX('Konstanten'!$A$6:$A$10,MATCH($I24,'Konstanten'!$A$6:$A$10,1)))*(INDEX('Konstanten'!$C$6:$C$10,MATCH($I24,'Konstanten'!$A$6:$A$10,1)+1)-INDEX('Konstanten'!$C$6:$C$10,MATCH($I24,'Konstanten'!$A$6:$A$10,1))),INDEX('Konstanten'!$C$6:$C$10,MATCH($I24,'Konstanten'!$A$6:$A$10,1))),""))</f>
        <v/>
      </c>
      <c r="Q24" s="63">
        <f>IF(OR($B24="",$N24="",$O24="",$P24=""),"",'Konstanten'!$C$13*$O24*$P24^(1-($J24/1000)/0.075)*'Konstanten'!$C$14^'Konstanten'!$C$16*'Konstanten'!$C$15^'Konstanten'!$C$17*$N24)</f>
        <v/>
      </c>
      <c r="R24" s="64">
        <f>IF(OR($B24="",$Q24=""),"",$E24+$Q24/'Grundeinstellungen'!$J$6)</f>
        <v/>
      </c>
      <c r="S24" s="64">
        <f>IF($B24="","",IFERROR(VLOOKUP($M24,'Konstanten'!$H$6:$I$13,2,FALSE),29))</f>
        <v/>
      </c>
      <c r="T24" s="65">
        <f>IF(OR($B24="",$Q24=""),"",$Q24*$H24)</f>
        <v/>
      </c>
      <c r="U24" s="66">
        <f>IF(OR($B24="",$T24=""),"",$T24-$F24)</f>
        <v/>
      </c>
      <c r="V24" s="67">
        <f>IF(OR($B24="",$T24=""),"",IFERROR($T24/$F24,""))</f>
        <v/>
      </c>
      <c r="W24" s="65">
        <f>IF(OR($B24="",$H24=""),"",'Grundeinstellungen'!$J$13*$H24)</f>
        <v/>
      </c>
      <c r="X24" s="65">
        <f>IF(OR($B24="",$T24=""),"",MIN($T24,$F24)+$W24)</f>
        <v/>
      </c>
      <c r="Y24" s="68">
        <f>IF($B24="","",IFERROR($H24/($J24/1000),""))</f>
        <v/>
      </c>
      <c r="Z24" s="68">
        <f>IF($B24="","",IFERROR(2*$L24*$K24,""))</f>
        <v/>
      </c>
      <c r="AA24" s="68">
        <f>IF(OR($B24="",$Y24="",$Z24=""),"",$Y24+$Z24)</f>
        <v/>
      </c>
      <c r="AB24" s="68">
        <f>IF(OR($B24="",$AA24=""),"",IFERROR($AA24/$K24,""))</f>
        <v/>
      </c>
      <c r="AC24" s="69">
        <f>IF(OR($B24="",$X24=""),"",IFERROR(($X24/$K24)/('Grundeinstellungen'!$C$16*('Grundeinstellungen'!$C$6-'Grundeinstellungen'!$C$7))*3600,""))</f>
        <v/>
      </c>
      <c r="AD24" s="70">
        <f>IF(OR($B24="",$AC24=""),"",$AC24/'Grundeinstellungen'!$C$15*1000)</f>
        <v/>
      </c>
      <c r="AE24" s="71">
        <f>IF(OR($B24="",$AC24=""),"",IFERROR($AC24/3600/'Grundeinstellungen'!$C$15/'Grundeinstellungen'!$J$22,""))</f>
        <v/>
      </c>
      <c r="AF24" s="72">
        <f>IF(OR($B24="",$AE24=""),"",IFERROR($AE24*'Grundeinstellungen'!$J$21/'Grundeinstellungen'!$C$17,""))</f>
        <v/>
      </c>
      <c r="AG24" s="73">
        <f>IF(OR($B24="",$AF24=""),"",IF($AF24&lt;2300,"laminar",IF($AF24&lt;4000,"Übergangsbereich","turbulent")))</f>
        <v/>
      </c>
      <c r="AH24" s="74">
        <f>IF(OR($B24="",$AF24=""),"",IF($AF24&lt;2300,64/$AF24,0.316/$AF24^0.25))</f>
        <v/>
      </c>
      <c r="AI24" s="75">
        <f>IF(OR($B24="",$AH24="",$AB24=""),"",IFERROR($AH24*($AB24/'Grundeinstellungen'!$J$21)*('Grundeinstellungen'!$C$15/2)*$AE24^2,""))</f>
        <v/>
      </c>
      <c r="AJ24" s="76">
        <f>IF(OR($B24="",$AI24="",$AB24=""),"",IFERROR($AI24/$AB24,""))</f>
        <v/>
      </c>
      <c r="AK24" s="75">
        <f>IF(OR($B24="",$AI24=""),"",$AI24*(1+'Grundeinstellungen'!$C$24)+'Grundeinstellungen'!$C$25)</f>
        <v/>
      </c>
    </row>
    <row r="25">
      <c r="A25" s="51" t="n"/>
      <c r="B25" s="51" t="n"/>
      <c r="C25" s="51" t="n"/>
      <c r="D25" s="52" t="n"/>
      <c r="E25" s="53" t="n"/>
      <c r="F25" s="54" t="n"/>
      <c r="G25" s="55">
        <f>IF($B25="","",IFERROR($F25/$D25,""))</f>
        <v/>
      </c>
      <c r="H25" s="52" t="n"/>
      <c r="I25" s="56" t="n"/>
      <c r="J25" s="57" t="n"/>
      <c r="K25" s="58" t="n"/>
      <c r="L25" s="59" t="n"/>
      <c r="M25" s="60" t="n"/>
      <c r="N25" s="61">
        <f>IF($B25="","",IFERROR(('Grundeinstellungen'!$C$6-'Grundeinstellungen'!$C$7)/LN(('Grundeinstellungen'!$C$6-$E25)/('Grundeinstellungen'!$C$7-$E25)),""))</f>
        <v/>
      </c>
      <c r="O25" s="62">
        <f>IF($B25="","",IFERROR(IFERROR(INDEX('Konstanten'!$B$6:$B$10,MATCH($I25,'Konstanten'!$A$6:$A$10,1))+($I25-INDEX('Konstanten'!$A$6:$A$10,MATCH($I25,'Konstanten'!$A$6:$A$10,1)))/(INDEX('Konstanten'!$A$6:$A$10,MATCH($I25,'Konstanten'!$A$6:$A$10,1)+1)-INDEX('Konstanten'!$A$6:$A$10,MATCH($I25,'Konstanten'!$A$6:$A$10,1)))*(INDEX('Konstanten'!$B$6:$B$10,MATCH($I25,'Konstanten'!$A$6:$A$10,1)+1)-INDEX('Konstanten'!$B$6:$B$10,MATCH($I25,'Konstanten'!$A$6:$A$10,1))),INDEX('Konstanten'!$B$6:$B$10,MATCH($I25,'Konstanten'!$A$6:$A$10,1))),""))</f>
        <v/>
      </c>
      <c r="P25" s="62">
        <f>IF($B25="","",IFERROR(IFERROR(INDEX('Konstanten'!$C$6:$C$10,MATCH($I25,'Konstanten'!$A$6:$A$10,1))+($I25-INDEX('Konstanten'!$A$6:$A$10,MATCH($I25,'Konstanten'!$A$6:$A$10,1)))/(INDEX('Konstanten'!$A$6:$A$10,MATCH($I25,'Konstanten'!$A$6:$A$10,1)+1)-INDEX('Konstanten'!$A$6:$A$10,MATCH($I25,'Konstanten'!$A$6:$A$10,1)))*(INDEX('Konstanten'!$C$6:$C$10,MATCH($I25,'Konstanten'!$A$6:$A$10,1)+1)-INDEX('Konstanten'!$C$6:$C$10,MATCH($I25,'Konstanten'!$A$6:$A$10,1))),INDEX('Konstanten'!$C$6:$C$10,MATCH($I25,'Konstanten'!$A$6:$A$10,1))),""))</f>
        <v/>
      </c>
      <c r="Q25" s="63">
        <f>IF(OR($B25="",$N25="",$O25="",$P25=""),"",'Konstanten'!$C$13*$O25*$P25^(1-($J25/1000)/0.075)*'Konstanten'!$C$14^'Konstanten'!$C$16*'Konstanten'!$C$15^'Konstanten'!$C$17*$N25)</f>
        <v/>
      </c>
      <c r="R25" s="64">
        <f>IF(OR($B25="",$Q25=""),"",$E25+$Q25/'Grundeinstellungen'!$J$6)</f>
        <v/>
      </c>
      <c r="S25" s="64">
        <f>IF($B25="","",IFERROR(VLOOKUP($M25,'Konstanten'!$H$6:$I$13,2,FALSE),29))</f>
        <v/>
      </c>
      <c r="T25" s="65">
        <f>IF(OR($B25="",$Q25=""),"",$Q25*$H25)</f>
        <v/>
      </c>
      <c r="U25" s="66">
        <f>IF(OR($B25="",$T25=""),"",$T25-$F25)</f>
        <v/>
      </c>
      <c r="V25" s="67">
        <f>IF(OR($B25="",$T25=""),"",IFERROR($T25/$F25,""))</f>
        <v/>
      </c>
      <c r="W25" s="65">
        <f>IF(OR($B25="",$H25=""),"",'Grundeinstellungen'!$J$13*$H25)</f>
        <v/>
      </c>
      <c r="X25" s="65">
        <f>IF(OR($B25="",$T25=""),"",MIN($T25,$F25)+$W25)</f>
        <v/>
      </c>
      <c r="Y25" s="68">
        <f>IF($B25="","",IFERROR($H25/($J25/1000),""))</f>
        <v/>
      </c>
      <c r="Z25" s="68">
        <f>IF($B25="","",IFERROR(2*$L25*$K25,""))</f>
        <v/>
      </c>
      <c r="AA25" s="68">
        <f>IF(OR($B25="",$Y25="",$Z25=""),"",$Y25+$Z25)</f>
        <v/>
      </c>
      <c r="AB25" s="68">
        <f>IF(OR($B25="",$AA25=""),"",IFERROR($AA25/$K25,""))</f>
        <v/>
      </c>
      <c r="AC25" s="69">
        <f>IF(OR($B25="",$X25=""),"",IFERROR(($X25/$K25)/('Grundeinstellungen'!$C$16*('Grundeinstellungen'!$C$6-'Grundeinstellungen'!$C$7))*3600,""))</f>
        <v/>
      </c>
      <c r="AD25" s="70">
        <f>IF(OR($B25="",$AC25=""),"",$AC25/'Grundeinstellungen'!$C$15*1000)</f>
        <v/>
      </c>
      <c r="AE25" s="71">
        <f>IF(OR($B25="",$AC25=""),"",IFERROR($AC25/3600/'Grundeinstellungen'!$C$15/'Grundeinstellungen'!$J$22,""))</f>
        <v/>
      </c>
      <c r="AF25" s="72">
        <f>IF(OR($B25="",$AE25=""),"",IFERROR($AE25*'Grundeinstellungen'!$J$21/'Grundeinstellungen'!$C$17,""))</f>
        <v/>
      </c>
      <c r="AG25" s="73">
        <f>IF(OR($B25="",$AF25=""),"",IF($AF25&lt;2300,"laminar",IF($AF25&lt;4000,"Übergangsbereich","turbulent")))</f>
        <v/>
      </c>
      <c r="AH25" s="74">
        <f>IF(OR($B25="",$AF25=""),"",IF($AF25&lt;2300,64/$AF25,0.316/$AF25^0.25))</f>
        <v/>
      </c>
      <c r="AI25" s="75">
        <f>IF(OR($B25="",$AH25="",$AB25=""),"",IFERROR($AH25*($AB25/'Grundeinstellungen'!$J$21)*('Grundeinstellungen'!$C$15/2)*$AE25^2,""))</f>
        <v/>
      </c>
      <c r="AJ25" s="76">
        <f>IF(OR($B25="",$AI25="",$AB25=""),"",IFERROR($AI25/$AB25,""))</f>
        <v/>
      </c>
      <c r="AK25" s="75">
        <f>IF(OR($B25="",$AI25=""),"",$AI25*(1+'Grundeinstellungen'!$C$24)+'Grundeinstellungen'!$C$25)</f>
        <v/>
      </c>
    </row>
    <row r="26">
      <c r="A26" s="51" t="n"/>
      <c r="B26" s="51" t="n"/>
      <c r="C26" s="51" t="n"/>
      <c r="D26" s="52" t="n"/>
      <c r="E26" s="53" t="n"/>
      <c r="F26" s="54" t="n"/>
      <c r="G26" s="55">
        <f>IF($B26="","",IFERROR($F26/$D26,""))</f>
        <v/>
      </c>
      <c r="H26" s="52" t="n"/>
      <c r="I26" s="56" t="n"/>
      <c r="J26" s="57" t="n"/>
      <c r="K26" s="58" t="n"/>
      <c r="L26" s="59" t="n"/>
      <c r="M26" s="60" t="n"/>
      <c r="N26" s="61">
        <f>IF($B26="","",IFERROR(('Grundeinstellungen'!$C$6-'Grundeinstellungen'!$C$7)/LN(('Grundeinstellungen'!$C$6-$E26)/('Grundeinstellungen'!$C$7-$E26)),""))</f>
        <v/>
      </c>
      <c r="O26" s="62">
        <f>IF($B26="","",IFERROR(IFERROR(INDEX('Konstanten'!$B$6:$B$10,MATCH($I26,'Konstanten'!$A$6:$A$10,1))+($I26-INDEX('Konstanten'!$A$6:$A$10,MATCH($I26,'Konstanten'!$A$6:$A$10,1)))/(INDEX('Konstanten'!$A$6:$A$10,MATCH($I26,'Konstanten'!$A$6:$A$10,1)+1)-INDEX('Konstanten'!$A$6:$A$10,MATCH($I26,'Konstanten'!$A$6:$A$10,1)))*(INDEX('Konstanten'!$B$6:$B$10,MATCH($I26,'Konstanten'!$A$6:$A$10,1)+1)-INDEX('Konstanten'!$B$6:$B$10,MATCH($I26,'Konstanten'!$A$6:$A$10,1))),INDEX('Konstanten'!$B$6:$B$10,MATCH($I26,'Konstanten'!$A$6:$A$10,1))),""))</f>
        <v/>
      </c>
      <c r="P26" s="62">
        <f>IF($B26="","",IFERROR(IFERROR(INDEX('Konstanten'!$C$6:$C$10,MATCH($I26,'Konstanten'!$A$6:$A$10,1))+($I26-INDEX('Konstanten'!$A$6:$A$10,MATCH($I26,'Konstanten'!$A$6:$A$10,1)))/(INDEX('Konstanten'!$A$6:$A$10,MATCH($I26,'Konstanten'!$A$6:$A$10,1)+1)-INDEX('Konstanten'!$A$6:$A$10,MATCH($I26,'Konstanten'!$A$6:$A$10,1)))*(INDEX('Konstanten'!$C$6:$C$10,MATCH($I26,'Konstanten'!$A$6:$A$10,1)+1)-INDEX('Konstanten'!$C$6:$C$10,MATCH($I26,'Konstanten'!$A$6:$A$10,1))),INDEX('Konstanten'!$C$6:$C$10,MATCH($I26,'Konstanten'!$A$6:$A$10,1))),""))</f>
        <v/>
      </c>
      <c r="Q26" s="63">
        <f>IF(OR($B26="",$N26="",$O26="",$P26=""),"",'Konstanten'!$C$13*$O26*$P26^(1-($J26/1000)/0.075)*'Konstanten'!$C$14^'Konstanten'!$C$16*'Konstanten'!$C$15^'Konstanten'!$C$17*$N26)</f>
        <v/>
      </c>
      <c r="R26" s="64">
        <f>IF(OR($B26="",$Q26=""),"",$E26+$Q26/'Grundeinstellungen'!$J$6)</f>
        <v/>
      </c>
      <c r="S26" s="64">
        <f>IF($B26="","",IFERROR(VLOOKUP($M26,'Konstanten'!$H$6:$I$13,2,FALSE),29))</f>
        <v/>
      </c>
      <c r="T26" s="65">
        <f>IF(OR($B26="",$Q26=""),"",$Q26*$H26)</f>
        <v/>
      </c>
      <c r="U26" s="66">
        <f>IF(OR($B26="",$T26=""),"",$T26-$F26)</f>
        <v/>
      </c>
      <c r="V26" s="67">
        <f>IF(OR($B26="",$T26=""),"",IFERROR($T26/$F26,""))</f>
        <v/>
      </c>
      <c r="W26" s="65">
        <f>IF(OR($B26="",$H26=""),"",'Grundeinstellungen'!$J$13*$H26)</f>
        <v/>
      </c>
      <c r="X26" s="65">
        <f>IF(OR($B26="",$T26=""),"",MIN($T26,$F26)+$W26)</f>
        <v/>
      </c>
      <c r="Y26" s="68">
        <f>IF($B26="","",IFERROR($H26/($J26/1000),""))</f>
        <v/>
      </c>
      <c r="Z26" s="68">
        <f>IF($B26="","",IFERROR(2*$L26*$K26,""))</f>
        <v/>
      </c>
      <c r="AA26" s="68">
        <f>IF(OR($B26="",$Y26="",$Z26=""),"",$Y26+$Z26)</f>
        <v/>
      </c>
      <c r="AB26" s="68">
        <f>IF(OR($B26="",$AA26=""),"",IFERROR($AA26/$K26,""))</f>
        <v/>
      </c>
      <c r="AC26" s="69">
        <f>IF(OR($B26="",$X26=""),"",IFERROR(($X26/$K26)/('Grundeinstellungen'!$C$16*('Grundeinstellungen'!$C$6-'Grundeinstellungen'!$C$7))*3600,""))</f>
        <v/>
      </c>
      <c r="AD26" s="70">
        <f>IF(OR($B26="",$AC26=""),"",$AC26/'Grundeinstellungen'!$C$15*1000)</f>
        <v/>
      </c>
      <c r="AE26" s="71">
        <f>IF(OR($B26="",$AC26=""),"",IFERROR($AC26/3600/'Grundeinstellungen'!$C$15/'Grundeinstellungen'!$J$22,""))</f>
        <v/>
      </c>
      <c r="AF26" s="72">
        <f>IF(OR($B26="",$AE26=""),"",IFERROR($AE26*'Grundeinstellungen'!$J$21/'Grundeinstellungen'!$C$17,""))</f>
        <v/>
      </c>
      <c r="AG26" s="73">
        <f>IF(OR($B26="",$AF26=""),"",IF($AF26&lt;2300,"laminar",IF($AF26&lt;4000,"Übergangsbereich","turbulent")))</f>
        <v/>
      </c>
      <c r="AH26" s="74">
        <f>IF(OR($B26="",$AF26=""),"",IF($AF26&lt;2300,64/$AF26,0.316/$AF26^0.25))</f>
        <v/>
      </c>
      <c r="AI26" s="75">
        <f>IF(OR($B26="",$AH26="",$AB26=""),"",IFERROR($AH26*($AB26/'Grundeinstellungen'!$J$21)*('Grundeinstellungen'!$C$15/2)*$AE26^2,""))</f>
        <v/>
      </c>
      <c r="AJ26" s="76">
        <f>IF(OR($B26="",$AI26="",$AB26=""),"",IFERROR($AI26/$AB26,""))</f>
        <v/>
      </c>
      <c r="AK26" s="75">
        <f>IF(OR($B26="",$AI26=""),"",$AI26*(1+'Grundeinstellungen'!$C$24)+'Grundeinstellungen'!$C$25)</f>
        <v/>
      </c>
    </row>
    <row r="27">
      <c r="A27" s="51" t="n"/>
      <c r="B27" s="51" t="n"/>
      <c r="C27" s="51" t="n"/>
      <c r="D27" s="52" t="n"/>
      <c r="E27" s="53" t="n"/>
      <c r="F27" s="54" t="n"/>
      <c r="G27" s="55">
        <f>IF($B27="","",IFERROR($F27/$D27,""))</f>
        <v/>
      </c>
      <c r="H27" s="52" t="n"/>
      <c r="I27" s="56" t="n"/>
      <c r="J27" s="57" t="n"/>
      <c r="K27" s="58" t="n"/>
      <c r="L27" s="59" t="n"/>
      <c r="M27" s="60" t="n"/>
      <c r="N27" s="61">
        <f>IF($B27="","",IFERROR(('Grundeinstellungen'!$C$6-'Grundeinstellungen'!$C$7)/LN(('Grundeinstellungen'!$C$6-$E27)/('Grundeinstellungen'!$C$7-$E27)),""))</f>
        <v/>
      </c>
      <c r="O27" s="62">
        <f>IF($B27="","",IFERROR(IFERROR(INDEX('Konstanten'!$B$6:$B$10,MATCH($I27,'Konstanten'!$A$6:$A$10,1))+($I27-INDEX('Konstanten'!$A$6:$A$10,MATCH($I27,'Konstanten'!$A$6:$A$10,1)))/(INDEX('Konstanten'!$A$6:$A$10,MATCH($I27,'Konstanten'!$A$6:$A$10,1)+1)-INDEX('Konstanten'!$A$6:$A$10,MATCH($I27,'Konstanten'!$A$6:$A$10,1)))*(INDEX('Konstanten'!$B$6:$B$10,MATCH($I27,'Konstanten'!$A$6:$A$10,1)+1)-INDEX('Konstanten'!$B$6:$B$10,MATCH($I27,'Konstanten'!$A$6:$A$10,1))),INDEX('Konstanten'!$B$6:$B$10,MATCH($I27,'Konstanten'!$A$6:$A$10,1))),""))</f>
        <v/>
      </c>
      <c r="P27" s="62">
        <f>IF($B27="","",IFERROR(IFERROR(INDEX('Konstanten'!$C$6:$C$10,MATCH($I27,'Konstanten'!$A$6:$A$10,1))+($I27-INDEX('Konstanten'!$A$6:$A$10,MATCH($I27,'Konstanten'!$A$6:$A$10,1)))/(INDEX('Konstanten'!$A$6:$A$10,MATCH($I27,'Konstanten'!$A$6:$A$10,1)+1)-INDEX('Konstanten'!$A$6:$A$10,MATCH($I27,'Konstanten'!$A$6:$A$10,1)))*(INDEX('Konstanten'!$C$6:$C$10,MATCH($I27,'Konstanten'!$A$6:$A$10,1)+1)-INDEX('Konstanten'!$C$6:$C$10,MATCH($I27,'Konstanten'!$A$6:$A$10,1))),INDEX('Konstanten'!$C$6:$C$10,MATCH($I27,'Konstanten'!$A$6:$A$10,1))),""))</f>
        <v/>
      </c>
      <c r="Q27" s="63">
        <f>IF(OR($B27="",$N27="",$O27="",$P27=""),"",'Konstanten'!$C$13*$O27*$P27^(1-($J27/1000)/0.075)*'Konstanten'!$C$14^'Konstanten'!$C$16*'Konstanten'!$C$15^'Konstanten'!$C$17*$N27)</f>
        <v/>
      </c>
      <c r="R27" s="64">
        <f>IF(OR($B27="",$Q27=""),"",$E27+$Q27/'Grundeinstellungen'!$J$6)</f>
        <v/>
      </c>
      <c r="S27" s="64">
        <f>IF($B27="","",IFERROR(VLOOKUP($M27,'Konstanten'!$H$6:$I$13,2,FALSE),29))</f>
        <v/>
      </c>
      <c r="T27" s="65">
        <f>IF(OR($B27="",$Q27=""),"",$Q27*$H27)</f>
        <v/>
      </c>
      <c r="U27" s="66">
        <f>IF(OR($B27="",$T27=""),"",$T27-$F27)</f>
        <v/>
      </c>
      <c r="V27" s="67">
        <f>IF(OR($B27="",$T27=""),"",IFERROR($T27/$F27,""))</f>
        <v/>
      </c>
      <c r="W27" s="65">
        <f>IF(OR($B27="",$H27=""),"",'Grundeinstellungen'!$J$13*$H27)</f>
        <v/>
      </c>
      <c r="X27" s="65">
        <f>IF(OR($B27="",$T27=""),"",MIN($T27,$F27)+$W27)</f>
        <v/>
      </c>
      <c r="Y27" s="68">
        <f>IF($B27="","",IFERROR($H27/($J27/1000),""))</f>
        <v/>
      </c>
      <c r="Z27" s="68">
        <f>IF($B27="","",IFERROR(2*$L27*$K27,""))</f>
        <v/>
      </c>
      <c r="AA27" s="68">
        <f>IF(OR($B27="",$Y27="",$Z27=""),"",$Y27+$Z27)</f>
        <v/>
      </c>
      <c r="AB27" s="68">
        <f>IF(OR($B27="",$AA27=""),"",IFERROR($AA27/$K27,""))</f>
        <v/>
      </c>
      <c r="AC27" s="69">
        <f>IF(OR($B27="",$X27=""),"",IFERROR(($X27/$K27)/('Grundeinstellungen'!$C$16*('Grundeinstellungen'!$C$6-'Grundeinstellungen'!$C$7))*3600,""))</f>
        <v/>
      </c>
      <c r="AD27" s="70">
        <f>IF(OR($B27="",$AC27=""),"",$AC27/'Grundeinstellungen'!$C$15*1000)</f>
        <v/>
      </c>
      <c r="AE27" s="71">
        <f>IF(OR($B27="",$AC27=""),"",IFERROR($AC27/3600/'Grundeinstellungen'!$C$15/'Grundeinstellungen'!$J$22,""))</f>
        <v/>
      </c>
      <c r="AF27" s="72">
        <f>IF(OR($B27="",$AE27=""),"",IFERROR($AE27*'Grundeinstellungen'!$J$21/'Grundeinstellungen'!$C$17,""))</f>
        <v/>
      </c>
      <c r="AG27" s="73">
        <f>IF(OR($B27="",$AF27=""),"",IF($AF27&lt;2300,"laminar",IF($AF27&lt;4000,"Übergangsbereich","turbulent")))</f>
        <v/>
      </c>
      <c r="AH27" s="74">
        <f>IF(OR($B27="",$AF27=""),"",IF($AF27&lt;2300,64/$AF27,0.316/$AF27^0.25))</f>
        <v/>
      </c>
      <c r="AI27" s="75">
        <f>IF(OR($B27="",$AH27="",$AB27=""),"",IFERROR($AH27*($AB27/'Grundeinstellungen'!$J$21)*('Grundeinstellungen'!$C$15/2)*$AE27^2,""))</f>
        <v/>
      </c>
      <c r="AJ27" s="76">
        <f>IF(OR($B27="",$AI27="",$AB27=""),"",IFERROR($AI27/$AB27,""))</f>
        <v/>
      </c>
      <c r="AK27" s="75">
        <f>IF(OR($B27="",$AI27=""),"",$AI27*(1+'Grundeinstellungen'!$C$24)+'Grundeinstellungen'!$C$25)</f>
        <v/>
      </c>
    </row>
    <row r="28">
      <c r="A28" s="51" t="n"/>
      <c r="B28" s="51" t="n"/>
      <c r="C28" s="51" t="n"/>
      <c r="D28" s="52" t="n"/>
      <c r="E28" s="53" t="n"/>
      <c r="F28" s="54" t="n"/>
      <c r="G28" s="55">
        <f>IF($B28="","",IFERROR($F28/$D28,""))</f>
        <v/>
      </c>
      <c r="H28" s="52" t="n"/>
      <c r="I28" s="56" t="n"/>
      <c r="J28" s="57" t="n"/>
      <c r="K28" s="58" t="n"/>
      <c r="L28" s="59" t="n"/>
      <c r="M28" s="60" t="n"/>
      <c r="N28" s="61">
        <f>IF($B28="","",IFERROR(('Grundeinstellungen'!$C$6-'Grundeinstellungen'!$C$7)/LN(('Grundeinstellungen'!$C$6-$E28)/('Grundeinstellungen'!$C$7-$E28)),""))</f>
        <v/>
      </c>
      <c r="O28" s="62">
        <f>IF($B28="","",IFERROR(IFERROR(INDEX('Konstanten'!$B$6:$B$10,MATCH($I28,'Konstanten'!$A$6:$A$10,1))+($I28-INDEX('Konstanten'!$A$6:$A$10,MATCH($I28,'Konstanten'!$A$6:$A$10,1)))/(INDEX('Konstanten'!$A$6:$A$10,MATCH($I28,'Konstanten'!$A$6:$A$10,1)+1)-INDEX('Konstanten'!$A$6:$A$10,MATCH($I28,'Konstanten'!$A$6:$A$10,1)))*(INDEX('Konstanten'!$B$6:$B$10,MATCH($I28,'Konstanten'!$A$6:$A$10,1)+1)-INDEX('Konstanten'!$B$6:$B$10,MATCH($I28,'Konstanten'!$A$6:$A$10,1))),INDEX('Konstanten'!$B$6:$B$10,MATCH($I28,'Konstanten'!$A$6:$A$10,1))),""))</f>
        <v/>
      </c>
      <c r="P28" s="62">
        <f>IF($B28="","",IFERROR(IFERROR(INDEX('Konstanten'!$C$6:$C$10,MATCH($I28,'Konstanten'!$A$6:$A$10,1))+($I28-INDEX('Konstanten'!$A$6:$A$10,MATCH($I28,'Konstanten'!$A$6:$A$10,1)))/(INDEX('Konstanten'!$A$6:$A$10,MATCH($I28,'Konstanten'!$A$6:$A$10,1)+1)-INDEX('Konstanten'!$A$6:$A$10,MATCH($I28,'Konstanten'!$A$6:$A$10,1)))*(INDEX('Konstanten'!$C$6:$C$10,MATCH($I28,'Konstanten'!$A$6:$A$10,1)+1)-INDEX('Konstanten'!$C$6:$C$10,MATCH($I28,'Konstanten'!$A$6:$A$10,1))),INDEX('Konstanten'!$C$6:$C$10,MATCH($I28,'Konstanten'!$A$6:$A$10,1))),""))</f>
        <v/>
      </c>
      <c r="Q28" s="63">
        <f>IF(OR($B28="",$N28="",$O28="",$P28=""),"",'Konstanten'!$C$13*$O28*$P28^(1-($J28/1000)/0.075)*'Konstanten'!$C$14^'Konstanten'!$C$16*'Konstanten'!$C$15^'Konstanten'!$C$17*$N28)</f>
        <v/>
      </c>
      <c r="R28" s="64">
        <f>IF(OR($B28="",$Q28=""),"",$E28+$Q28/'Grundeinstellungen'!$J$6)</f>
        <v/>
      </c>
      <c r="S28" s="64">
        <f>IF($B28="","",IFERROR(VLOOKUP($M28,'Konstanten'!$H$6:$I$13,2,FALSE),29))</f>
        <v/>
      </c>
      <c r="T28" s="65">
        <f>IF(OR($B28="",$Q28=""),"",$Q28*$H28)</f>
        <v/>
      </c>
      <c r="U28" s="66">
        <f>IF(OR($B28="",$T28=""),"",$T28-$F28)</f>
        <v/>
      </c>
      <c r="V28" s="67">
        <f>IF(OR($B28="",$T28=""),"",IFERROR($T28/$F28,""))</f>
        <v/>
      </c>
      <c r="W28" s="65">
        <f>IF(OR($B28="",$H28=""),"",'Grundeinstellungen'!$J$13*$H28)</f>
        <v/>
      </c>
      <c r="X28" s="65">
        <f>IF(OR($B28="",$T28=""),"",MIN($T28,$F28)+$W28)</f>
        <v/>
      </c>
      <c r="Y28" s="68">
        <f>IF($B28="","",IFERROR($H28/($J28/1000),""))</f>
        <v/>
      </c>
      <c r="Z28" s="68">
        <f>IF($B28="","",IFERROR(2*$L28*$K28,""))</f>
        <v/>
      </c>
      <c r="AA28" s="68">
        <f>IF(OR($B28="",$Y28="",$Z28=""),"",$Y28+$Z28)</f>
        <v/>
      </c>
      <c r="AB28" s="68">
        <f>IF(OR($B28="",$AA28=""),"",IFERROR($AA28/$K28,""))</f>
        <v/>
      </c>
      <c r="AC28" s="69">
        <f>IF(OR($B28="",$X28=""),"",IFERROR(($X28/$K28)/('Grundeinstellungen'!$C$16*('Grundeinstellungen'!$C$6-'Grundeinstellungen'!$C$7))*3600,""))</f>
        <v/>
      </c>
      <c r="AD28" s="70">
        <f>IF(OR($B28="",$AC28=""),"",$AC28/'Grundeinstellungen'!$C$15*1000)</f>
        <v/>
      </c>
      <c r="AE28" s="71">
        <f>IF(OR($B28="",$AC28=""),"",IFERROR($AC28/3600/'Grundeinstellungen'!$C$15/'Grundeinstellungen'!$J$22,""))</f>
        <v/>
      </c>
      <c r="AF28" s="72">
        <f>IF(OR($B28="",$AE28=""),"",IFERROR($AE28*'Grundeinstellungen'!$J$21/'Grundeinstellungen'!$C$17,""))</f>
        <v/>
      </c>
      <c r="AG28" s="73">
        <f>IF(OR($B28="",$AF28=""),"",IF($AF28&lt;2300,"laminar",IF($AF28&lt;4000,"Übergangsbereich","turbulent")))</f>
        <v/>
      </c>
      <c r="AH28" s="74">
        <f>IF(OR($B28="",$AF28=""),"",IF($AF28&lt;2300,64/$AF28,0.316/$AF28^0.25))</f>
        <v/>
      </c>
      <c r="AI28" s="75">
        <f>IF(OR($B28="",$AH28="",$AB28=""),"",IFERROR($AH28*($AB28/'Grundeinstellungen'!$J$21)*('Grundeinstellungen'!$C$15/2)*$AE28^2,""))</f>
        <v/>
      </c>
      <c r="AJ28" s="76">
        <f>IF(OR($B28="",$AI28="",$AB28=""),"",IFERROR($AI28/$AB28,""))</f>
        <v/>
      </c>
      <c r="AK28" s="75">
        <f>IF(OR($B28="",$AI28=""),"",$AI28*(1+'Grundeinstellungen'!$C$24)+'Grundeinstellungen'!$C$25)</f>
        <v/>
      </c>
    </row>
    <row r="29">
      <c r="A29" s="51" t="n"/>
      <c r="B29" s="51" t="n"/>
      <c r="C29" s="51" t="n"/>
      <c r="D29" s="52" t="n"/>
      <c r="E29" s="53" t="n"/>
      <c r="F29" s="54" t="n"/>
      <c r="G29" s="55">
        <f>IF($B29="","",IFERROR($F29/$D29,""))</f>
        <v/>
      </c>
      <c r="H29" s="52" t="n"/>
      <c r="I29" s="56" t="n"/>
      <c r="J29" s="57" t="n"/>
      <c r="K29" s="58" t="n"/>
      <c r="L29" s="59" t="n"/>
      <c r="M29" s="60" t="n"/>
      <c r="N29" s="61">
        <f>IF($B29="","",IFERROR(('Grundeinstellungen'!$C$6-'Grundeinstellungen'!$C$7)/LN(('Grundeinstellungen'!$C$6-$E29)/('Grundeinstellungen'!$C$7-$E29)),""))</f>
        <v/>
      </c>
      <c r="O29" s="62">
        <f>IF($B29="","",IFERROR(IFERROR(INDEX('Konstanten'!$B$6:$B$10,MATCH($I29,'Konstanten'!$A$6:$A$10,1))+($I29-INDEX('Konstanten'!$A$6:$A$10,MATCH($I29,'Konstanten'!$A$6:$A$10,1)))/(INDEX('Konstanten'!$A$6:$A$10,MATCH($I29,'Konstanten'!$A$6:$A$10,1)+1)-INDEX('Konstanten'!$A$6:$A$10,MATCH($I29,'Konstanten'!$A$6:$A$10,1)))*(INDEX('Konstanten'!$B$6:$B$10,MATCH($I29,'Konstanten'!$A$6:$A$10,1)+1)-INDEX('Konstanten'!$B$6:$B$10,MATCH($I29,'Konstanten'!$A$6:$A$10,1))),INDEX('Konstanten'!$B$6:$B$10,MATCH($I29,'Konstanten'!$A$6:$A$10,1))),""))</f>
        <v/>
      </c>
      <c r="P29" s="62">
        <f>IF($B29="","",IFERROR(IFERROR(INDEX('Konstanten'!$C$6:$C$10,MATCH($I29,'Konstanten'!$A$6:$A$10,1))+($I29-INDEX('Konstanten'!$A$6:$A$10,MATCH($I29,'Konstanten'!$A$6:$A$10,1)))/(INDEX('Konstanten'!$A$6:$A$10,MATCH($I29,'Konstanten'!$A$6:$A$10,1)+1)-INDEX('Konstanten'!$A$6:$A$10,MATCH($I29,'Konstanten'!$A$6:$A$10,1)))*(INDEX('Konstanten'!$C$6:$C$10,MATCH($I29,'Konstanten'!$A$6:$A$10,1)+1)-INDEX('Konstanten'!$C$6:$C$10,MATCH($I29,'Konstanten'!$A$6:$A$10,1))),INDEX('Konstanten'!$C$6:$C$10,MATCH($I29,'Konstanten'!$A$6:$A$10,1))),""))</f>
        <v/>
      </c>
      <c r="Q29" s="63">
        <f>IF(OR($B29="",$N29="",$O29="",$P29=""),"",'Konstanten'!$C$13*$O29*$P29^(1-($J29/1000)/0.075)*'Konstanten'!$C$14^'Konstanten'!$C$16*'Konstanten'!$C$15^'Konstanten'!$C$17*$N29)</f>
        <v/>
      </c>
      <c r="R29" s="64">
        <f>IF(OR($B29="",$Q29=""),"",$E29+$Q29/'Grundeinstellungen'!$J$6)</f>
        <v/>
      </c>
      <c r="S29" s="64">
        <f>IF($B29="","",IFERROR(VLOOKUP($M29,'Konstanten'!$H$6:$I$13,2,FALSE),29))</f>
        <v/>
      </c>
      <c r="T29" s="65">
        <f>IF(OR($B29="",$Q29=""),"",$Q29*$H29)</f>
        <v/>
      </c>
      <c r="U29" s="66">
        <f>IF(OR($B29="",$T29=""),"",$T29-$F29)</f>
        <v/>
      </c>
      <c r="V29" s="67">
        <f>IF(OR($B29="",$T29=""),"",IFERROR($T29/$F29,""))</f>
        <v/>
      </c>
      <c r="W29" s="65">
        <f>IF(OR($B29="",$H29=""),"",'Grundeinstellungen'!$J$13*$H29)</f>
        <v/>
      </c>
      <c r="X29" s="65">
        <f>IF(OR($B29="",$T29=""),"",MIN($T29,$F29)+$W29)</f>
        <v/>
      </c>
      <c r="Y29" s="68">
        <f>IF($B29="","",IFERROR($H29/($J29/1000),""))</f>
        <v/>
      </c>
      <c r="Z29" s="68">
        <f>IF($B29="","",IFERROR(2*$L29*$K29,""))</f>
        <v/>
      </c>
      <c r="AA29" s="68">
        <f>IF(OR($B29="",$Y29="",$Z29=""),"",$Y29+$Z29)</f>
        <v/>
      </c>
      <c r="AB29" s="68">
        <f>IF(OR($B29="",$AA29=""),"",IFERROR($AA29/$K29,""))</f>
        <v/>
      </c>
      <c r="AC29" s="69">
        <f>IF(OR($B29="",$X29=""),"",IFERROR(($X29/$K29)/('Grundeinstellungen'!$C$16*('Grundeinstellungen'!$C$6-'Grundeinstellungen'!$C$7))*3600,""))</f>
        <v/>
      </c>
      <c r="AD29" s="70">
        <f>IF(OR($B29="",$AC29=""),"",$AC29/'Grundeinstellungen'!$C$15*1000)</f>
        <v/>
      </c>
      <c r="AE29" s="71">
        <f>IF(OR($B29="",$AC29=""),"",IFERROR($AC29/3600/'Grundeinstellungen'!$C$15/'Grundeinstellungen'!$J$22,""))</f>
        <v/>
      </c>
      <c r="AF29" s="72">
        <f>IF(OR($B29="",$AE29=""),"",IFERROR($AE29*'Grundeinstellungen'!$J$21/'Grundeinstellungen'!$C$17,""))</f>
        <v/>
      </c>
      <c r="AG29" s="73">
        <f>IF(OR($B29="",$AF29=""),"",IF($AF29&lt;2300,"laminar",IF($AF29&lt;4000,"Übergangsbereich","turbulent")))</f>
        <v/>
      </c>
      <c r="AH29" s="74">
        <f>IF(OR($B29="",$AF29=""),"",IF($AF29&lt;2300,64/$AF29,0.316/$AF29^0.25))</f>
        <v/>
      </c>
      <c r="AI29" s="75">
        <f>IF(OR($B29="",$AH29="",$AB29=""),"",IFERROR($AH29*($AB29/'Grundeinstellungen'!$J$21)*('Grundeinstellungen'!$C$15/2)*$AE29^2,""))</f>
        <v/>
      </c>
      <c r="AJ29" s="76">
        <f>IF(OR($B29="",$AI29="",$AB29=""),"",IFERROR($AI29/$AB29,""))</f>
        <v/>
      </c>
      <c r="AK29" s="75">
        <f>IF(OR($B29="",$AI29=""),"",$AI29*(1+'Grundeinstellungen'!$C$24)+'Grundeinstellungen'!$C$25)</f>
        <v/>
      </c>
    </row>
    <row r="30">
      <c r="A30" s="51" t="n"/>
      <c r="B30" s="51" t="n"/>
      <c r="C30" s="51" t="n"/>
      <c r="D30" s="52" t="n"/>
      <c r="E30" s="53" t="n"/>
      <c r="F30" s="54" t="n"/>
      <c r="G30" s="55">
        <f>IF($B30="","",IFERROR($F30/$D30,""))</f>
        <v/>
      </c>
      <c r="H30" s="52" t="n"/>
      <c r="I30" s="56" t="n"/>
      <c r="J30" s="57" t="n"/>
      <c r="K30" s="58" t="n"/>
      <c r="L30" s="59" t="n"/>
      <c r="M30" s="60" t="n"/>
      <c r="N30" s="61">
        <f>IF($B30="","",IFERROR(('Grundeinstellungen'!$C$6-'Grundeinstellungen'!$C$7)/LN(('Grundeinstellungen'!$C$6-$E30)/('Grundeinstellungen'!$C$7-$E30)),""))</f>
        <v/>
      </c>
      <c r="O30" s="62">
        <f>IF($B30="","",IFERROR(IFERROR(INDEX('Konstanten'!$B$6:$B$10,MATCH($I30,'Konstanten'!$A$6:$A$10,1))+($I30-INDEX('Konstanten'!$A$6:$A$10,MATCH($I30,'Konstanten'!$A$6:$A$10,1)))/(INDEX('Konstanten'!$A$6:$A$10,MATCH($I30,'Konstanten'!$A$6:$A$10,1)+1)-INDEX('Konstanten'!$A$6:$A$10,MATCH($I30,'Konstanten'!$A$6:$A$10,1)))*(INDEX('Konstanten'!$B$6:$B$10,MATCH($I30,'Konstanten'!$A$6:$A$10,1)+1)-INDEX('Konstanten'!$B$6:$B$10,MATCH($I30,'Konstanten'!$A$6:$A$10,1))),INDEX('Konstanten'!$B$6:$B$10,MATCH($I30,'Konstanten'!$A$6:$A$10,1))),""))</f>
        <v/>
      </c>
      <c r="P30" s="62">
        <f>IF($B30="","",IFERROR(IFERROR(INDEX('Konstanten'!$C$6:$C$10,MATCH($I30,'Konstanten'!$A$6:$A$10,1))+($I30-INDEX('Konstanten'!$A$6:$A$10,MATCH($I30,'Konstanten'!$A$6:$A$10,1)))/(INDEX('Konstanten'!$A$6:$A$10,MATCH($I30,'Konstanten'!$A$6:$A$10,1)+1)-INDEX('Konstanten'!$A$6:$A$10,MATCH($I30,'Konstanten'!$A$6:$A$10,1)))*(INDEX('Konstanten'!$C$6:$C$10,MATCH($I30,'Konstanten'!$A$6:$A$10,1)+1)-INDEX('Konstanten'!$C$6:$C$10,MATCH($I30,'Konstanten'!$A$6:$A$10,1))),INDEX('Konstanten'!$C$6:$C$10,MATCH($I30,'Konstanten'!$A$6:$A$10,1))),""))</f>
        <v/>
      </c>
      <c r="Q30" s="63">
        <f>IF(OR($B30="",$N30="",$O30="",$P30=""),"",'Konstanten'!$C$13*$O30*$P30^(1-($J30/1000)/0.075)*'Konstanten'!$C$14^'Konstanten'!$C$16*'Konstanten'!$C$15^'Konstanten'!$C$17*$N30)</f>
        <v/>
      </c>
      <c r="R30" s="64">
        <f>IF(OR($B30="",$Q30=""),"",$E30+$Q30/'Grundeinstellungen'!$J$6)</f>
        <v/>
      </c>
      <c r="S30" s="64">
        <f>IF($B30="","",IFERROR(VLOOKUP($M30,'Konstanten'!$H$6:$I$13,2,FALSE),29))</f>
        <v/>
      </c>
      <c r="T30" s="65">
        <f>IF(OR($B30="",$Q30=""),"",$Q30*$H30)</f>
        <v/>
      </c>
      <c r="U30" s="66">
        <f>IF(OR($B30="",$T30=""),"",$T30-$F30)</f>
        <v/>
      </c>
      <c r="V30" s="67">
        <f>IF(OR($B30="",$T30=""),"",IFERROR($T30/$F30,""))</f>
        <v/>
      </c>
      <c r="W30" s="65">
        <f>IF(OR($B30="",$H30=""),"",'Grundeinstellungen'!$J$13*$H30)</f>
        <v/>
      </c>
      <c r="X30" s="65">
        <f>IF(OR($B30="",$T30=""),"",MIN($T30,$F30)+$W30)</f>
        <v/>
      </c>
      <c r="Y30" s="68">
        <f>IF($B30="","",IFERROR($H30/($J30/1000),""))</f>
        <v/>
      </c>
      <c r="Z30" s="68">
        <f>IF($B30="","",IFERROR(2*$L30*$K30,""))</f>
        <v/>
      </c>
      <c r="AA30" s="68">
        <f>IF(OR($B30="",$Y30="",$Z30=""),"",$Y30+$Z30)</f>
        <v/>
      </c>
      <c r="AB30" s="68">
        <f>IF(OR($B30="",$AA30=""),"",IFERROR($AA30/$K30,""))</f>
        <v/>
      </c>
      <c r="AC30" s="69">
        <f>IF(OR($B30="",$X30=""),"",IFERROR(($X30/$K30)/('Grundeinstellungen'!$C$16*('Grundeinstellungen'!$C$6-'Grundeinstellungen'!$C$7))*3600,""))</f>
        <v/>
      </c>
      <c r="AD30" s="70">
        <f>IF(OR($B30="",$AC30=""),"",$AC30/'Grundeinstellungen'!$C$15*1000)</f>
        <v/>
      </c>
      <c r="AE30" s="71">
        <f>IF(OR($B30="",$AC30=""),"",IFERROR($AC30/3600/'Grundeinstellungen'!$C$15/'Grundeinstellungen'!$J$22,""))</f>
        <v/>
      </c>
      <c r="AF30" s="72">
        <f>IF(OR($B30="",$AE30=""),"",IFERROR($AE30*'Grundeinstellungen'!$J$21/'Grundeinstellungen'!$C$17,""))</f>
        <v/>
      </c>
      <c r="AG30" s="73">
        <f>IF(OR($B30="",$AF30=""),"",IF($AF30&lt;2300,"laminar",IF($AF30&lt;4000,"Übergangsbereich","turbulent")))</f>
        <v/>
      </c>
      <c r="AH30" s="74">
        <f>IF(OR($B30="",$AF30=""),"",IF($AF30&lt;2300,64/$AF30,0.316/$AF30^0.25))</f>
        <v/>
      </c>
      <c r="AI30" s="75">
        <f>IF(OR($B30="",$AH30="",$AB30=""),"",IFERROR($AH30*($AB30/'Grundeinstellungen'!$J$21)*('Grundeinstellungen'!$C$15/2)*$AE30^2,""))</f>
        <v/>
      </c>
      <c r="AJ30" s="76">
        <f>IF(OR($B30="",$AI30="",$AB30=""),"",IFERROR($AI30/$AB30,""))</f>
        <v/>
      </c>
      <c r="AK30" s="75">
        <f>IF(OR($B30="",$AI30=""),"",$AI30*(1+'Grundeinstellungen'!$C$24)+'Grundeinstellungen'!$C$25)</f>
        <v/>
      </c>
    </row>
    <row r="31">
      <c r="A31" s="51" t="n"/>
      <c r="B31" s="51" t="n"/>
      <c r="C31" s="51" t="n"/>
      <c r="D31" s="52" t="n"/>
      <c r="E31" s="53" t="n"/>
      <c r="F31" s="54" t="n"/>
      <c r="G31" s="55">
        <f>IF($B31="","",IFERROR($F31/$D31,""))</f>
        <v/>
      </c>
      <c r="H31" s="52" t="n"/>
      <c r="I31" s="56" t="n"/>
      <c r="J31" s="57" t="n"/>
      <c r="K31" s="58" t="n"/>
      <c r="L31" s="59" t="n"/>
      <c r="M31" s="60" t="n"/>
      <c r="N31" s="61">
        <f>IF($B31="","",IFERROR(('Grundeinstellungen'!$C$6-'Grundeinstellungen'!$C$7)/LN(('Grundeinstellungen'!$C$6-$E31)/('Grundeinstellungen'!$C$7-$E31)),""))</f>
        <v/>
      </c>
      <c r="O31" s="62">
        <f>IF($B31="","",IFERROR(IFERROR(INDEX('Konstanten'!$B$6:$B$10,MATCH($I31,'Konstanten'!$A$6:$A$10,1))+($I31-INDEX('Konstanten'!$A$6:$A$10,MATCH($I31,'Konstanten'!$A$6:$A$10,1)))/(INDEX('Konstanten'!$A$6:$A$10,MATCH($I31,'Konstanten'!$A$6:$A$10,1)+1)-INDEX('Konstanten'!$A$6:$A$10,MATCH($I31,'Konstanten'!$A$6:$A$10,1)))*(INDEX('Konstanten'!$B$6:$B$10,MATCH($I31,'Konstanten'!$A$6:$A$10,1)+1)-INDEX('Konstanten'!$B$6:$B$10,MATCH($I31,'Konstanten'!$A$6:$A$10,1))),INDEX('Konstanten'!$B$6:$B$10,MATCH($I31,'Konstanten'!$A$6:$A$10,1))),""))</f>
        <v/>
      </c>
      <c r="P31" s="62">
        <f>IF($B31="","",IFERROR(IFERROR(INDEX('Konstanten'!$C$6:$C$10,MATCH($I31,'Konstanten'!$A$6:$A$10,1))+($I31-INDEX('Konstanten'!$A$6:$A$10,MATCH($I31,'Konstanten'!$A$6:$A$10,1)))/(INDEX('Konstanten'!$A$6:$A$10,MATCH($I31,'Konstanten'!$A$6:$A$10,1)+1)-INDEX('Konstanten'!$A$6:$A$10,MATCH($I31,'Konstanten'!$A$6:$A$10,1)))*(INDEX('Konstanten'!$C$6:$C$10,MATCH($I31,'Konstanten'!$A$6:$A$10,1)+1)-INDEX('Konstanten'!$C$6:$C$10,MATCH($I31,'Konstanten'!$A$6:$A$10,1))),INDEX('Konstanten'!$C$6:$C$10,MATCH($I31,'Konstanten'!$A$6:$A$10,1))),""))</f>
        <v/>
      </c>
      <c r="Q31" s="63">
        <f>IF(OR($B31="",$N31="",$O31="",$P31=""),"",'Konstanten'!$C$13*$O31*$P31^(1-($J31/1000)/0.075)*'Konstanten'!$C$14^'Konstanten'!$C$16*'Konstanten'!$C$15^'Konstanten'!$C$17*$N31)</f>
        <v/>
      </c>
      <c r="R31" s="64">
        <f>IF(OR($B31="",$Q31=""),"",$E31+$Q31/'Grundeinstellungen'!$J$6)</f>
        <v/>
      </c>
      <c r="S31" s="64">
        <f>IF($B31="","",IFERROR(VLOOKUP($M31,'Konstanten'!$H$6:$I$13,2,FALSE),29))</f>
        <v/>
      </c>
      <c r="T31" s="65">
        <f>IF(OR($B31="",$Q31=""),"",$Q31*$H31)</f>
        <v/>
      </c>
      <c r="U31" s="66">
        <f>IF(OR($B31="",$T31=""),"",$T31-$F31)</f>
        <v/>
      </c>
      <c r="V31" s="67">
        <f>IF(OR($B31="",$T31=""),"",IFERROR($T31/$F31,""))</f>
        <v/>
      </c>
      <c r="W31" s="65">
        <f>IF(OR($B31="",$H31=""),"",'Grundeinstellungen'!$J$13*$H31)</f>
        <v/>
      </c>
      <c r="X31" s="65">
        <f>IF(OR($B31="",$T31=""),"",MIN($T31,$F31)+$W31)</f>
        <v/>
      </c>
      <c r="Y31" s="68">
        <f>IF($B31="","",IFERROR($H31/($J31/1000),""))</f>
        <v/>
      </c>
      <c r="Z31" s="68">
        <f>IF($B31="","",IFERROR(2*$L31*$K31,""))</f>
        <v/>
      </c>
      <c r="AA31" s="68">
        <f>IF(OR($B31="",$Y31="",$Z31=""),"",$Y31+$Z31)</f>
        <v/>
      </c>
      <c r="AB31" s="68">
        <f>IF(OR($B31="",$AA31=""),"",IFERROR($AA31/$K31,""))</f>
        <v/>
      </c>
      <c r="AC31" s="69">
        <f>IF(OR($B31="",$X31=""),"",IFERROR(($X31/$K31)/('Grundeinstellungen'!$C$16*('Grundeinstellungen'!$C$6-'Grundeinstellungen'!$C$7))*3600,""))</f>
        <v/>
      </c>
      <c r="AD31" s="70">
        <f>IF(OR($B31="",$AC31=""),"",$AC31/'Grundeinstellungen'!$C$15*1000)</f>
        <v/>
      </c>
      <c r="AE31" s="71">
        <f>IF(OR($B31="",$AC31=""),"",IFERROR($AC31/3600/'Grundeinstellungen'!$C$15/'Grundeinstellungen'!$J$22,""))</f>
        <v/>
      </c>
      <c r="AF31" s="72">
        <f>IF(OR($B31="",$AE31=""),"",IFERROR($AE31*'Grundeinstellungen'!$J$21/'Grundeinstellungen'!$C$17,""))</f>
        <v/>
      </c>
      <c r="AG31" s="73">
        <f>IF(OR($B31="",$AF31=""),"",IF($AF31&lt;2300,"laminar",IF($AF31&lt;4000,"Übergangsbereich","turbulent")))</f>
        <v/>
      </c>
      <c r="AH31" s="74">
        <f>IF(OR($B31="",$AF31=""),"",IF($AF31&lt;2300,64/$AF31,0.316/$AF31^0.25))</f>
        <v/>
      </c>
      <c r="AI31" s="75">
        <f>IF(OR($B31="",$AH31="",$AB31=""),"",IFERROR($AH31*($AB31/'Grundeinstellungen'!$J$21)*('Grundeinstellungen'!$C$15/2)*$AE31^2,""))</f>
        <v/>
      </c>
      <c r="AJ31" s="76">
        <f>IF(OR($B31="",$AI31="",$AB31=""),"",IFERROR($AI31/$AB31,""))</f>
        <v/>
      </c>
      <c r="AK31" s="75">
        <f>IF(OR($B31="",$AI31=""),"",$AI31*(1+'Grundeinstellungen'!$C$24)+'Grundeinstellungen'!$C$25)</f>
        <v/>
      </c>
    </row>
    <row r="32">
      <c r="A32" s="51" t="n"/>
      <c r="B32" s="51" t="n"/>
      <c r="C32" s="51" t="n"/>
      <c r="D32" s="52" t="n"/>
      <c r="E32" s="53" t="n"/>
      <c r="F32" s="54" t="n"/>
      <c r="G32" s="55">
        <f>IF($B32="","",IFERROR($F32/$D32,""))</f>
        <v/>
      </c>
      <c r="H32" s="52" t="n"/>
      <c r="I32" s="56" t="n"/>
      <c r="J32" s="57" t="n"/>
      <c r="K32" s="58" t="n"/>
      <c r="L32" s="59" t="n"/>
      <c r="M32" s="60" t="n"/>
      <c r="N32" s="61">
        <f>IF($B32="","",IFERROR(('Grundeinstellungen'!$C$6-'Grundeinstellungen'!$C$7)/LN(('Grundeinstellungen'!$C$6-$E32)/('Grundeinstellungen'!$C$7-$E32)),""))</f>
        <v/>
      </c>
      <c r="O32" s="62">
        <f>IF($B32="","",IFERROR(IFERROR(INDEX('Konstanten'!$B$6:$B$10,MATCH($I32,'Konstanten'!$A$6:$A$10,1))+($I32-INDEX('Konstanten'!$A$6:$A$10,MATCH($I32,'Konstanten'!$A$6:$A$10,1)))/(INDEX('Konstanten'!$A$6:$A$10,MATCH($I32,'Konstanten'!$A$6:$A$10,1)+1)-INDEX('Konstanten'!$A$6:$A$10,MATCH($I32,'Konstanten'!$A$6:$A$10,1)))*(INDEX('Konstanten'!$B$6:$B$10,MATCH($I32,'Konstanten'!$A$6:$A$10,1)+1)-INDEX('Konstanten'!$B$6:$B$10,MATCH($I32,'Konstanten'!$A$6:$A$10,1))),INDEX('Konstanten'!$B$6:$B$10,MATCH($I32,'Konstanten'!$A$6:$A$10,1))),""))</f>
        <v/>
      </c>
      <c r="P32" s="62">
        <f>IF($B32="","",IFERROR(IFERROR(INDEX('Konstanten'!$C$6:$C$10,MATCH($I32,'Konstanten'!$A$6:$A$10,1))+($I32-INDEX('Konstanten'!$A$6:$A$10,MATCH($I32,'Konstanten'!$A$6:$A$10,1)))/(INDEX('Konstanten'!$A$6:$A$10,MATCH($I32,'Konstanten'!$A$6:$A$10,1)+1)-INDEX('Konstanten'!$A$6:$A$10,MATCH($I32,'Konstanten'!$A$6:$A$10,1)))*(INDEX('Konstanten'!$C$6:$C$10,MATCH($I32,'Konstanten'!$A$6:$A$10,1)+1)-INDEX('Konstanten'!$C$6:$C$10,MATCH($I32,'Konstanten'!$A$6:$A$10,1))),INDEX('Konstanten'!$C$6:$C$10,MATCH($I32,'Konstanten'!$A$6:$A$10,1))),""))</f>
        <v/>
      </c>
      <c r="Q32" s="63">
        <f>IF(OR($B32="",$N32="",$O32="",$P32=""),"",'Konstanten'!$C$13*$O32*$P32^(1-($J32/1000)/0.075)*'Konstanten'!$C$14^'Konstanten'!$C$16*'Konstanten'!$C$15^'Konstanten'!$C$17*$N32)</f>
        <v/>
      </c>
      <c r="R32" s="64">
        <f>IF(OR($B32="",$Q32=""),"",$E32+$Q32/'Grundeinstellungen'!$J$6)</f>
        <v/>
      </c>
      <c r="S32" s="64">
        <f>IF($B32="","",IFERROR(VLOOKUP($M32,'Konstanten'!$H$6:$I$13,2,FALSE),29))</f>
        <v/>
      </c>
      <c r="T32" s="65">
        <f>IF(OR($B32="",$Q32=""),"",$Q32*$H32)</f>
        <v/>
      </c>
      <c r="U32" s="66">
        <f>IF(OR($B32="",$T32=""),"",$T32-$F32)</f>
        <v/>
      </c>
      <c r="V32" s="67">
        <f>IF(OR($B32="",$T32=""),"",IFERROR($T32/$F32,""))</f>
        <v/>
      </c>
      <c r="W32" s="65">
        <f>IF(OR($B32="",$H32=""),"",'Grundeinstellungen'!$J$13*$H32)</f>
        <v/>
      </c>
      <c r="X32" s="65">
        <f>IF(OR($B32="",$T32=""),"",MIN($T32,$F32)+$W32)</f>
        <v/>
      </c>
      <c r="Y32" s="68">
        <f>IF($B32="","",IFERROR($H32/($J32/1000),""))</f>
        <v/>
      </c>
      <c r="Z32" s="68">
        <f>IF($B32="","",IFERROR(2*$L32*$K32,""))</f>
        <v/>
      </c>
      <c r="AA32" s="68">
        <f>IF(OR($B32="",$Y32="",$Z32=""),"",$Y32+$Z32)</f>
        <v/>
      </c>
      <c r="AB32" s="68">
        <f>IF(OR($B32="",$AA32=""),"",IFERROR($AA32/$K32,""))</f>
        <v/>
      </c>
      <c r="AC32" s="69">
        <f>IF(OR($B32="",$X32=""),"",IFERROR(($X32/$K32)/('Grundeinstellungen'!$C$16*('Grundeinstellungen'!$C$6-'Grundeinstellungen'!$C$7))*3600,""))</f>
        <v/>
      </c>
      <c r="AD32" s="70">
        <f>IF(OR($B32="",$AC32=""),"",$AC32/'Grundeinstellungen'!$C$15*1000)</f>
        <v/>
      </c>
      <c r="AE32" s="71">
        <f>IF(OR($B32="",$AC32=""),"",IFERROR($AC32/3600/'Grundeinstellungen'!$C$15/'Grundeinstellungen'!$J$22,""))</f>
        <v/>
      </c>
      <c r="AF32" s="72">
        <f>IF(OR($B32="",$AE32=""),"",IFERROR($AE32*'Grundeinstellungen'!$J$21/'Grundeinstellungen'!$C$17,""))</f>
        <v/>
      </c>
      <c r="AG32" s="73">
        <f>IF(OR($B32="",$AF32=""),"",IF($AF32&lt;2300,"laminar",IF($AF32&lt;4000,"Übergangsbereich","turbulent")))</f>
        <v/>
      </c>
      <c r="AH32" s="74">
        <f>IF(OR($B32="",$AF32=""),"",IF($AF32&lt;2300,64/$AF32,0.316/$AF32^0.25))</f>
        <v/>
      </c>
      <c r="AI32" s="75">
        <f>IF(OR($B32="",$AH32="",$AB32=""),"",IFERROR($AH32*($AB32/'Grundeinstellungen'!$J$21)*('Grundeinstellungen'!$C$15/2)*$AE32^2,""))</f>
        <v/>
      </c>
      <c r="AJ32" s="76">
        <f>IF(OR($B32="",$AI32="",$AB32=""),"",IFERROR($AI32/$AB32,""))</f>
        <v/>
      </c>
      <c r="AK32" s="75">
        <f>IF(OR($B32="",$AI32=""),"",$AI32*(1+'Grundeinstellungen'!$C$24)+'Grundeinstellungen'!$C$25)</f>
        <v/>
      </c>
    </row>
    <row r="33">
      <c r="A33" s="51" t="n"/>
      <c r="B33" s="51" t="n"/>
      <c r="C33" s="51" t="n"/>
      <c r="D33" s="52" t="n"/>
      <c r="E33" s="53" t="n"/>
      <c r="F33" s="54" t="n"/>
      <c r="G33" s="55">
        <f>IF($B33="","",IFERROR($F33/$D33,""))</f>
        <v/>
      </c>
      <c r="H33" s="52" t="n"/>
      <c r="I33" s="56" t="n"/>
      <c r="J33" s="57" t="n"/>
      <c r="K33" s="58" t="n"/>
      <c r="L33" s="59" t="n"/>
      <c r="M33" s="60" t="n"/>
      <c r="N33" s="61">
        <f>IF($B33="","",IFERROR(('Grundeinstellungen'!$C$6-'Grundeinstellungen'!$C$7)/LN(('Grundeinstellungen'!$C$6-$E33)/('Grundeinstellungen'!$C$7-$E33)),""))</f>
        <v/>
      </c>
      <c r="O33" s="62">
        <f>IF($B33="","",IFERROR(IFERROR(INDEX('Konstanten'!$B$6:$B$10,MATCH($I33,'Konstanten'!$A$6:$A$10,1))+($I33-INDEX('Konstanten'!$A$6:$A$10,MATCH($I33,'Konstanten'!$A$6:$A$10,1)))/(INDEX('Konstanten'!$A$6:$A$10,MATCH($I33,'Konstanten'!$A$6:$A$10,1)+1)-INDEX('Konstanten'!$A$6:$A$10,MATCH($I33,'Konstanten'!$A$6:$A$10,1)))*(INDEX('Konstanten'!$B$6:$B$10,MATCH($I33,'Konstanten'!$A$6:$A$10,1)+1)-INDEX('Konstanten'!$B$6:$B$10,MATCH($I33,'Konstanten'!$A$6:$A$10,1))),INDEX('Konstanten'!$B$6:$B$10,MATCH($I33,'Konstanten'!$A$6:$A$10,1))),""))</f>
        <v/>
      </c>
      <c r="P33" s="62">
        <f>IF($B33="","",IFERROR(IFERROR(INDEX('Konstanten'!$C$6:$C$10,MATCH($I33,'Konstanten'!$A$6:$A$10,1))+($I33-INDEX('Konstanten'!$A$6:$A$10,MATCH($I33,'Konstanten'!$A$6:$A$10,1)))/(INDEX('Konstanten'!$A$6:$A$10,MATCH($I33,'Konstanten'!$A$6:$A$10,1)+1)-INDEX('Konstanten'!$A$6:$A$10,MATCH($I33,'Konstanten'!$A$6:$A$10,1)))*(INDEX('Konstanten'!$C$6:$C$10,MATCH($I33,'Konstanten'!$A$6:$A$10,1)+1)-INDEX('Konstanten'!$C$6:$C$10,MATCH($I33,'Konstanten'!$A$6:$A$10,1))),INDEX('Konstanten'!$C$6:$C$10,MATCH($I33,'Konstanten'!$A$6:$A$10,1))),""))</f>
        <v/>
      </c>
      <c r="Q33" s="63">
        <f>IF(OR($B33="",$N33="",$O33="",$P33=""),"",'Konstanten'!$C$13*$O33*$P33^(1-($J33/1000)/0.075)*'Konstanten'!$C$14^'Konstanten'!$C$16*'Konstanten'!$C$15^'Konstanten'!$C$17*$N33)</f>
        <v/>
      </c>
      <c r="R33" s="64">
        <f>IF(OR($B33="",$Q33=""),"",$E33+$Q33/'Grundeinstellungen'!$J$6)</f>
        <v/>
      </c>
      <c r="S33" s="64">
        <f>IF($B33="","",IFERROR(VLOOKUP($M33,'Konstanten'!$H$6:$I$13,2,FALSE),29))</f>
        <v/>
      </c>
      <c r="T33" s="65">
        <f>IF(OR($B33="",$Q33=""),"",$Q33*$H33)</f>
        <v/>
      </c>
      <c r="U33" s="66">
        <f>IF(OR($B33="",$T33=""),"",$T33-$F33)</f>
        <v/>
      </c>
      <c r="V33" s="67">
        <f>IF(OR($B33="",$T33=""),"",IFERROR($T33/$F33,""))</f>
        <v/>
      </c>
      <c r="W33" s="65">
        <f>IF(OR($B33="",$H33=""),"",'Grundeinstellungen'!$J$13*$H33)</f>
        <v/>
      </c>
      <c r="X33" s="65">
        <f>IF(OR($B33="",$T33=""),"",MIN($T33,$F33)+$W33)</f>
        <v/>
      </c>
      <c r="Y33" s="68">
        <f>IF($B33="","",IFERROR($H33/($J33/1000),""))</f>
        <v/>
      </c>
      <c r="Z33" s="68">
        <f>IF($B33="","",IFERROR(2*$L33*$K33,""))</f>
        <v/>
      </c>
      <c r="AA33" s="68">
        <f>IF(OR($B33="",$Y33="",$Z33=""),"",$Y33+$Z33)</f>
        <v/>
      </c>
      <c r="AB33" s="68">
        <f>IF(OR($B33="",$AA33=""),"",IFERROR($AA33/$K33,""))</f>
        <v/>
      </c>
      <c r="AC33" s="69">
        <f>IF(OR($B33="",$X33=""),"",IFERROR(($X33/$K33)/('Grundeinstellungen'!$C$16*('Grundeinstellungen'!$C$6-'Grundeinstellungen'!$C$7))*3600,""))</f>
        <v/>
      </c>
      <c r="AD33" s="70">
        <f>IF(OR($B33="",$AC33=""),"",$AC33/'Grundeinstellungen'!$C$15*1000)</f>
        <v/>
      </c>
      <c r="AE33" s="71">
        <f>IF(OR($B33="",$AC33=""),"",IFERROR($AC33/3600/'Grundeinstellungen'!$C$15/'Grundeinstellungen'!$J$22,""))</f>
        <v/>
      </c>
      <c r="AF33" s="72">
        <f>IF(OR($B33="",$AE33=""),"",IFERROR($AE33*'Grundeinstellungen'!$J$21/'Grundeinstellungen'!$C$17,""))</f>
        <v/>
      </c>
      <c r="AG33" s="73">
        <f>IF(OR($B33="",$AF33=""),"",IF($AF33&lt;2300,"laminar",IF($AF33&lt;4000,"Übergangsbereich","turbulent")))</f>
        <v/>
      </c>
      <c r="AH33" s="74">
        <f>IF(OR($B33="",$AF33=""),"",IF($AF33&lt;2300,64/$AF33,0.316/$AF33^0.25))</f>
        <v/>
      </c>
      <c r="AI33" s="75">
        <f>IF(OR($B33="",$AH33="",$AB33=""),"",IFERROR($AH33*($AB33/'Grundeinstellungen'!$J$21)*('Grundeinstellungen'!$C$15/2)*$AE33^2,""))</f>
        <v/>
      </c>
      <c r="AJ33" s="76">
        <f>IF(OR($B33="",$AI33="",$AB33=""),"",IFERROR($AI33/$AB33,""))</f>
        <v/>
      </c>
      <c r="AK33" s="75">
        <f>IF(OR($B33="",$AI33=""),"",$AI33*(1+'Grundeinstellungen'!$C$24)+'Grundeinstellungen'!$C$25)</f>
        <v/>
      </c>
    </row>
    <row r="34">
      <c r="A34" s="51" t="n"/>
      <c r="B34" s="51" t="n"/>
      <c r="C34" s="51" t="n"/>
      <c r="D34" s="52" t="n"/>
      <c r="E34" s="53" t="n"/>
      <c r="F34" s="54" t="n"/>
      <c r="G34" s="55">
        <f>IF($B34="","",IFERROR($F34/$D34,""))</f>
        <v/>
      </c>
      <c r="H34" s="52" t="n"/>
      <c r="I34" s="56" t="n"/>
      <c r="J34" s="57" t="n"/>
      <c r="K34" s="58" t="n"/>
      <c r="L34" s="59" t="n"/>
      <c r="M34" s="60" t="n"/>
      <c r="N34" s="61">
        <f>IF($B34="","",IFERROR(('Grundeinstellungen'!$C$6-'Grundeinstellungen'!$C$7)/LN(('Grundeinstellungen'!$C$6-$E34)/('Grundeinstellungen'!$C$7-$E34)),""))</f>
        <v/>
      </c>
      <c r="O34" s="62">
        <f>IF($B34="","",IFERROR(IFERROR(INDEX('Konstanten'!$B$6:$B$10,MATCH($I34,'Konstanten'!$A$6:$A$10,1))+($I34-INDEX('Konstanten'!$A$6:$A$10,MATCH($I34,'Konstanten'!$A$6:$A$10,1)))/(INDEX('Konstanten'!$A$6:$A$10,MATCH($I34,'Konstanten'!$A$6:$A$10,1)+1)-INDEX('Konstanten'!$A$6:$A$10,MATCH($I34,'Konstanten'!$A$6:$A$10,1)))*(INDEX('Konstanten'!$B$6:$B$10,MATCH($I34,'Konstanten'!$A$6:$A$10,1)+1)-INDEX('Konstanten'!$B$6:$B$10,MATCH($I34,'Konstanten'!$A$6:$A$10,1))),INDEX('Konstanten'!$B$6:$B$10,MATCH($I34,'Konstanten'!$A$6:$A$10,1))),""))</f>
        <v/>
      </c>
      <c r="P34" s="62">
        <f>IF($B34="","",IFERROR(IFERROR(INDEX('Konstanten'!$C$6:$C$10,MATCH($I34,'Konstanten'!$A$6:$A$10,1))+($I34-INDEX('Konstanten'!$A$6:$A$10,MATCH($I34,'Konstanten'!$A$6:$A$10,1)))/(INDEX('Konstanten'!$A$6:$A$10,MATCH($I34,'Konstanten'!$A$6:$A$10,1)+1)-INDEX('Konstanten'!$A$6:$A$10,MATCH($I34,'Konstanten'!$A$6:$A$10,1)))*(INDEX('Konstanten'!$C$6:$C$10,MATCH($I34,'Konstanten'!$A$6:$A$10,1)+1)-INDEX('Konstanten'!$C$6:$C$10,MATCH($I34,'Konstanten'!$A$6:$A$10,1))),INDEX('Konstanten'!$C$6:$C$10,MATCH($I34,'Konstanten'!$A$6:$A$10,1))),""))</f>
        <v/>
      </c>
      <c r="Q34" s="63">
        <f>IF(OR($B34="",$N34="",$O34="",$P34=""),"",'Konstanten'!$C$13*$O34*$P34^(1-($J34/1000)/0.075)*'Konstanten'!$C$14^'Konstanten'!$C$16*'Konstanten'!$C$15^'Konstanten'!$C$17*$N34)</f>
        <v/>
      </c>
      <c r="R34" s="64">
        <f>IF(OR($B34="",$Q34=""),"",$E34+$Q34/'Grundeinstellungen'!$J$6)</f>
        <v/>
      </c>
      <c r="S34" s="64">
        <f>IF($B34="","",IFERROR(VLOOKUP($M34,'Konstanten'!$H$6:$I$13,2,FALSE),29))</f>
        <v/>
      </c>
      <c r="T34" s="65">
        <f>IF(OR($B34="",$Q34=""),"",$Q34*$H34)</f>
        <v/>
      </c>
      <c r="U34" s="66">
        <f>IF(OR($B34="",$T34=""),"",$T34-$F34)</f>
        <v/>
      </c>
      <c r="V34" s="67">
        <f>IF(OR($B34="",$T34=""),"",IFERROR($T34/$F34,""))</f>
        <v/>
      </c>
      <c r="W34" s="65">
        <f>IF(OR($B34="",$H34=""),"",'Grundeinstellungen'!$J$13*$H34)</f>
        <v/>
      </c>
      <c r="X34" s="65">
        <f>IF(OR($B34="",$T34=""),"",MIN($T34,$F34)+$W34)</f>
        <v/>
      </c>
      <c r="Y34" s="68">
        <f>IF($B34="","",IFERROR($H34/($J34/1000),""))</f>
        <v/>
      </c>
      <c r="Z34" s="68">
        <f>IF($B34="","",IFERROR(2*$L34*$K34,""))</f>
        <v/>
      </c>
      <c r="AA34" s="68">
        <f>IF(OR($B34="",$Y34="",$Z34=""),"",$Y34+$Z34)</f>
        <v/>
      </c>
      <c r="AB34" s="68">
        <f>IF(OR($B34="",$AA34=""),"",IFERROR($AA34/$K34,""))</f>
        <v/>
      </c>
      <c r="AC34" s="69">
        <f>IF(OR($B34="",$X34=""),"",IFERROR(($X34/$K34)/('Grundeinstellungen'!$C$16*('Grundeinstellungen'!$C$6-'Grundeinstellungen'!$C$7))*3600,""))</f>
        <v/>
      </c>
      <c r="AD34" s="70">
        <f>IF(OR($B34="",$AC34=""),"",$AC34/'Grundeinstellungen'!$C$15*1000)</f>
        <v/>
      </c>
      <c r="AE34" s="71">
        <f>IF(OR($B34="",$AC34=""),"",IFERROR($AC34/3600/'Grundeinstellungen'!$C$15/'Grundeinstellungen'!$J$22,""))</f>
        <v/>
      </c>
      <c r="AF34" s="72">
        <f>IF(OR($B34="",$AE34=""),"",IFERROR($AE34*'Grundeinstellungen'!$J$21/'Grundeinstellungen'!$C$17,""))</f>
        <v/>
      </c>
      <c r="AG34" s="73">
        <f>IF(OR($B34="",$AF34=""),"",IF($AF34&lt;2300,"laminar",IF($AF34&lt;4000,"Übergangsbereich","turbulent")))</f>
        <v/>
      </c>
      <c r="AH34" s="74">
        <f>IF(OR($B34="",$AF34=""),"",IF($AF34&lt;2300,64/$AF34,0.316/$AF34^0.25))</f>
        <v/>
      </c>
      <c r="AI34" s="75">
        <f>IF(OR($B34="",$AH34="",$AB34=""),"",IFERROR($AH34*($AB34/'Grundeinstellungen'!$J$21)*('Grundeinstellungen'!$C$15/2)*$AE34^2,""))</f>
        <v/>
      </c>
      <c r="AJ34" s="76">
        <f>IF(OR($B34="",$AI34="",$AB34=""),"",IFERROR($AI34/$AB34,""))</f>
        <v/>
      </c>
      <c r="AK34" s="75">
        <f>IF(OR($B34="",$AI34=""),"",$AI34*(1+'Grundeinstellungen'!$C$24)+'Grundeinstellungen'!$C$25)</f>
        <v/>
      </c>
    </row>
    <row r="35">
      <c r="A35" s="51" t="n"/>
      <c r="B35" s="51" t="n"/>
      <c r="C35" s="51" t="n"/>
      <c r="D35" s="52" t="n"/>
      <c r="E35" s="53" t="n"/>
      <c r="F35" s="54" t="n"/>
      <c r="G35" s="55">
        <f>IF($B35="","",IFERROR($F35/$D35,""))</f>
        <v/>
      </c>
      <c r="H35" s="52" t="n"/>
      <c r="I35" s="56" t="n"/>
      <c r="J35" s="57" t="n"/>
      <c r="K35" s="58" t="n"/>
      <c r="L35" s="59" t="n"/>
      <c r="M35" s="60" t="n"/>
      <c r="N35" s="61">
        <f>IF($B35="","",IFERROR(('Grundeinstellungen'!$C$6-'Grundeinstellungen'!$C$7)/LN(('Grundeinstellungen'!$C$6-$E35)/('Grundeinstellungen'!$C$7-$E35)),""))</f>
        <v/>
      </c>
      <c r="O35" s="62">
        <f>IF($B35="","",IFERROR(IFERROR(INDEX('Konstanten'!$B$6:$B$10,MATCH($I35,'Konstanten'!$A$6:$A$10,1))+($I35-INDEX('Konstanten'!$A$6:$A$10,MATCH($I35,'Konstanten'!$A$6:$A$10,1)))/(INDEX('Konstanten'!$A$6:$A$10,MATCH($I35,'Konstanten'!$A$6:$A$10,1)+1)-INDEX('Konstanten'!$A$6:$A$10,MATCH($I35,'Konstanten'!$A$6:$A$10,1)))*(INDEX('Konstanten'!$B$6:$B$10,MATCH($I35,'Konstanten'!$A$6:$A$10,1)+1)-INDEX('Konstanten'!$B$6:$B$10,MATCH($I35,'Konstanten'!$A$6:$A$10,1))),INDEX('Konstanten'!$B$6:$B$10,MATCH($I35,'Konstanten'!$A$6:$A$10,1))),""))</f>
        <v/>
      </c>
      <c r="P35" s="62">
        <f>IF($B35="","",IFERROR(IFERROR(INDEX('Konstanten'!$C$6:$C$10,MATCH($I35,'Konstanten'!$A$6:$A$10,1))+($I35-INDEX('Konstanten'!$A$6:$A$10,MATCH($I35,'Konstanten'!$A$6:$A$10,1)))/(INDEX('Konstanten'!$A$6:$A$10,MATCH($I35,'Konstanten'!$A$6:$A$10,1)+1)-INDEX('Konstanten'!$A$6:$A$10,MATCH($I35,'Konstanten'!$A$6:$A$10,1)))*(INDEX('Konstanten'!$C$6:$C$10,MATCH($I35,'Konstanten'!$A$6:$A$10,1)+1)-INDEX('Konstanten'!$C$6:$C$10,MATCH($I35,'Konstanten'!$A$6:$A$10,1))),INDEX('Konstanten'!$C$6:$C$10,MATCH($I35,'Konstanten'!$A$6:$A$10,1))),""))</f>
        <v/>
      </c>
      <c r="Q35" s="63">
        <f>IF(OR($B35="",$N35="",$O35="",$P35=""),"",'Konstanten'!$C$13*$O35*$P35^(1-($J35/1000)/0.075)*'Konstanten'!$C$14^'Konstanten'!$C$16*'Konstanten'!$C$15^'Konstanten'!$C$17*$N35)</f>
        <v/>
      </c>
      <c r="R35" s="64">
        <f>IF(OR($B35="",$Q35=""),"",$E35+$Q35/'Grundeinstellungen'!$J$6)</f>
        <v/>
      </c>
      <c r="S35" s="64">
        <f>IF($B35="","",IFERROR(VLOOKUP($M35,'Konstanten'!$H$6:$I$13,2,FALSE),29))</f>
        <v/>
      </c>
      <c r="T35" s="65">
        <f>IF(OR($B35="",$Q35=""),"",$Q35*$H35)</f>
        <v/>
      </c>
      <c r="U35" s="66">
        <f>IF(OR($B35="",$T35=""),"",$T35-$F35)</f>
        <v/>
      </c>
      <c r="V35" s="67">
        <f>IF(OR($B35="",$T35=""),"",IFERROR($T35/$F35,""))</f>
        <v/>
      </c>
      <c r="W35" s="65">
        <f>IF(OR($B35="",$H35=""),"",'Grundeinstellungen'!$J$13*$H35)</f>
        <v/>
      </c>
      <c r="X35" s="65">
        <f>IF(OR($B35="",$T35=""),"",MIN($T35,$F35)+$W35)</f>
        <v/>
      </c>
      <c r="Y35" s="68">
        <f>IF($B35="","",IFERROR($H35/($J35/1000),""))</f>
        <v/>
      </c>
      <c r="Z35" s="68">
        <f>IF($B35="","",IFERROR(2*$L35*$K35,""))</f>
        <v/>
      </c>
      <c r="AA35" s="68">
        <f>IF(OR($B35="",$Y35="",$Z35=""),"",$Y35+$Z35)</f>
        <v/>
      </c>
      <c r="AB35" s="68">
        <f>IF(OR($B35="",$AA35=""),"",IFERROR($AA35/$K35,""))</f>
        <v/>
      </c>
      <c r="AC35" s="69">
        <f>IF(OR($B35="",$X35=""),"",IFERROR(($X35/$K35)/('Grundeinstellungen'!$C$16*('Grundeinstellungen'!$C$6-'Grundeinstellungen'!$C$7))*3600,""))</f>
        <v/>
      </c>
      <c r="AD35" s="70">
        <f>IF(OR($B35="",$AC35=""),"",$AC35/'Grundeinstellungen'!$C$15*1000)</f>
        <v/>
      </c>
      <c r="AE35" s="71">
        <f>IF(OR($B35="",$AC35=""),"",IFERROR($AC35/3600/'Grundeinstellungen'!$C$15/'Grundeinstellungen'!$J$22,""))</f>
        <v/>
      </c>
      <c r="AF35" s="72">
        <f>IF(OR($B35="",$AE35=""),"",IFERROR($AE35*'Grundeinstellungen'!$J$21/'Grundeinstellungen'!$C$17,""))</f>
        <v/>
      </c>
      <c r="AG35" s="73">
        <f>IF(OR($B35="",$AF35=""),"",IF($AF35&lt;2300,"laminar",IF($AF35&lt;4000,"Übergangsbereich","turbulent")))</f>
        <v/>
      </c>
      <c r="AH35" s="74">
        <f>IF(OR($B35="",$AF35=""),"",IF($AF35&lt;2300,64/$AF35,0.316/$AF35^0.25))</f>
        <v/>
      </c>
      <c r="AI35" s="75">
        <f>IF(OR($B35="",$AH35="",$AB35=""),"",IFERROR($AH35*($AB35/'Grundeinstellungen'!$J$21)*('Grundeinstellungen'!$C$15/2)*$AE35^2,""))</f>
        <v/>
      </c>
      <c r="AJ35" s="76">
        <f>IF(OR($B35="",$AI35="",$AB35=""),"",IFERROR($AI35/$AB35,""))</f>
        <v/>
      </c>
      <c r="AK35" s="75">
        <f>IF(OR($B35="",$AI35=""),"",$AI35*(1+'Grundeinstellungen'!$C$24)+'Grundeinstellungen'!$C$25)</f>
        <v/>
      </c>
    </row>
    <row r="36">
      <c r="A36" s="51" t="n"/>
      <c r="B36" s="51" t="n"/>
      <c r="C36" s="51" t="n"/>
      <c r="D36" s="52" t="n"/>
      <c r="E36" s="53" t="n"/>
      <c r="F36" s="54" t="n"/>
      <c r="G36" s="55">
        <f>IF($B36="","",IFERROR($F36/$D36,""))</f>
        <v/>
      </c>
      <c r="H36" s="52" t="n"/>
      <c r="I36" s="56" t="n"/>
      <c r="J36" s="57" t="n"/>
      <c r="K36" s="58" t="n"/>
      <c r="L36" s="59" t="n"/>
      <c r="M36" s="60" t="n"/>
      <c r="N36" s="61">
        <f>IF($B36="","",IFERROR(('Grundeinstellungen'!$C$6-'Grundeinstellungen'!$C$7)/LN(('Grundeinstellungen'!$C$6-$E36)/('Grundeinstellungen'!$C$7-$E36)),""))</f>
        <v/>
      </c>
      <c r="O36" s="62">
        <f>IF($B36="","",IFERROR(IFERROR(INDEX('Konstanten'!$B$6:$B$10,MATCH($I36,'Konstanten'!$A$6:$A$10,1))+($I36-INDEX('Konstanten'!$A$6:$A$10,MATCH($I36,'Konstanten'!$A$6:$A$10,1)))/(INDEX('Konstanten'!$A$6:$A$10,MATCH($I36,'Konstanten'!$A$6:$A$10,1)+1)-INDEX('Konstanten'!$A$6:$A$10,MATCH($I36,'Konstanten'!$A$6:$A$10,1)))*(INDEX('Konstanten'!$B$6:$B$10,MATCH($I36,'Konstanten'!$A$6:$A$10,1)+1)-INDEX('Konstanten'!$B$6:$B$10,MATCH($I36,'Konstanten'!$A$6:$A$10,1))),INDEX('Konstanten'!$B$6:$B$10,MATCH($I36,'Konstanten'!$A$6:$A$10,1))),""))</f>
        <v/>
      </c>
      <c r="P36" s="62">
        <f>IF($B36="","",IFERROR(IFERROR(INDEX('Konstanten'!$C$6:$C$10,MATCH($I36,'Konstanten'!$A$6:$A$10,1))+($I36-INDEX('Konstanten'!$A$6:$A$10,MATCH($I36,'Konstanten'!$A$6:$A$10,1)))/(INDEX('Konstanten'!$A$6:$A$10,MATCH($I36,'Konstanten'!$A$6:$A$10,1)+1)-INDEX('Konstanten'!$A$6:$A$10,MATCH($I36,'Konstanten'!$A$6:$A$10,1)))*(INDEX('Konstanten'!$C$6:$C$10,MATCH($I36,'Konstanten'!$A$6:$A$10,1)+1)-INDEX('Konstanten'!$C$6:$C$10,MATCH($I36,'Konstanten'!$A$6:$A$10,1))),INDEX('Konstanten'!$C$6:$C$10,MATCH($I36,'Konstanten'!$A$6:$A$10,1))),""))</f>
        <v/>
      </c>
      <c r="Q36" s="63">
        <f>IF(OR($B36="",$N36="",$O36="",$P36=""),"",'Konstanten'!$C$13*$O36*$P36^(1-($J36/1000)/0.075)*'Konstanten'!$C$14^'Konstanten'!$C$16*'Konstanten'!$C$15^'Konstanten'!$C$17*$N36)</f>
        <v/>
      </c>
      <c r="R36" s="64">
        <f>IF(OR($B36="",$Q36=""),"",$E36+$Q36/'Grundeinstellungen'!$J$6)</f>
        <v/>
      </c>
      <c r="S36" s="64">
        <f>IF($B36="","",IFERROR(VLOOKUP($M36,'Konstanten'!$H$6:$I$13,2,FALSE),29))</f>
        <v/>
      </c>
      <c r="T36" s="65">
        <f>IF(OR($B36="",$Q36=""),"",$Q36*$H36)</f>
        <v/>
      </c>
      <c r="U36" s="66">
        <f>IF(OR($B36="",$T36=""),"",$T36-$F36)</f>
        <v/>
      </c>
      <c r="V36" s="67">
        <f>IF(OR($B36="",$T36=""),"",IFERROR($T36/$F36,""))</f>
        <v/>
      </c>
      <c r="W36" s="65">
        <f>IF(OR($B36="",$H36=""),"",'Grundeinstellungen'!$J$13*$H36)</f>
        <v/>
      </c>
      <c r="X36" s="65">
        <f>IF(OR($B36="",$T36=""),"",MIN($T36,$F36)+$W36)</f>
        <v/>
      </c>
      <c r="Y36" s="68">
        <f>IF($B36="","",IFERROR($H36/($J36/1000),""))</f>
        <v/>
      </c>
      <c r="Z36" s="68">
        <f>IF($B36="","",IFERROR(2*$L36*$K36,""))</f>
        <v/>
      </c>
      <c r="AA36" s="68">
        <f>IF(OR($B36="",$Y36="",$Z36=""),"",$Y36+$Z36)</f>
        <v/>
      </c>
      <c r="AB36" s="68">
        <f>IF(OR($B36="",$AA36=""),"",IFERROR($AA36/$K36,""))</f>
        <v/>
      </c>
      <c r="AC36" s="69">
        <f>IF(OR($B36="",$X36=""),"",IFERROR(($X36/$K36)/('Grundeinstellungen'!$C$16*('Grundeinstellungen'!$C$6-'Grundeinstellungen'!$C$7))*3600,""))</f>
        <v/>
      </c>
      <c r="AD36" s="70">
        <f>IF(OR($B36="",$AC36=""),"",$AC36/'Grundeinstellungen'!$C$15*1000)</f>
        <v/>
      </c>
      <c r="AE36" s="71">
        <f>IF(OR($B36="",$AC36=""),"",IFERROR($AC36/3600/'Grundeinstellungen'!$C$15/'Grundeinstellungen'!$J$22,""))</f>
        <v/>
      </c>
      <c r="AF36" s="72">
        <f>IF(OR($B36="",$AE36=""),"",IFERROR($AE36*'Grundeinstellungen'!$J$21/'Grundeinstellungen'!$C$17,""))</f>
        <v/>
      </c>
      <c r="AG36" s="73">
        <f>IF(OR($B36="",$AF36=""),"",IF($AF36&lt;2300,"laminar",IF($AF36&lt;4000,"Übergangsbereich","turbulent")))</f>
        <v/>
      </c>
      <c r="AH36" s="74">
        <f>IF(OR($B36="",$AF36=""),"",IF($AF36&lt;2300,64/$AF36,0.316/$AF36^0.25))</f>
        <v/>
      </c>
      <c r="AI36" s="75">
        <f>IF(OR($B36="",$AH36="",$AB36=""),"",IFERROR($AH36*($AB36/'Grundeinstellungen'!$J$21)*('Grundeinstellungen'!$C$15/2)*$AE36^2,""))</f>
        <v/>
      </c>
      <c r="AJ36" s="76">
        <f>IF(OR($B36="",$AI36="",$AB36=""),"",IFERROR($AI36/$AB36,""))</f>
        <v/>
      </c>
      <c r="AK36" s="75">
        <f>IF(OR($B36="",$AI36=""),"",$AI36*(1+'Grundeinstellungen'!$C$24)+'Grundeinstellungen'!$C$25)</f>
        <v/>
      </c>
    </row>
    <row r="37">
      <c r="A37" s="51" t="n"/>
      <c r="B37" s="51" t="n"/>
      <c r="C37" s="51" t="n"/>
      <c r="D37" s="52" t="n"/>
      <c r="E37" s="53" t="n"/>
      <c r="F37" s="54" t="n"/>
      <c r="G37" s="55">
        <f>IF($B37="","",IFERROR($F37/$D37,""))</f>
        <v/>
      </c>
      <c r="H37" s="52" t="n"/>
      <c r="I37" s="56" t="n"/>
      <c r="J37" s="57" t="n"/>
      <c r="K37" s="58" t="n"/>
      <c r="L37" s="59" t="n"/>
      <c r="M37" s="60" t="n"/>
      <c r="N37" s="61">
        <f>IF($B37="","",IFERROR(('Grundeinstellungen'!$C$6-'Grundeinstellungen'!$C$7)/LN(('Grundeinstellungen'!$C$6-$E37)/('Grundeinstellungen'!$C$7-$E37)),""))</f>
        <v/>
      </c>
      <c r="O37" s="62">
        <f>IF($B37="","",IFERROR(IFERROR(INDEX('Konstanten'!$B$6:$B$10,MATCH($I37,'Konstanten'!$A$6:$A$10,1))+($I37-INDEX('Konstanten'!$A$6:$A$10,MATCH($I37,'Konstanten'!$A$6:$A$10,1)))/(INDEX('Konstanten'!$A$6:$A$10,MATCH($I37,'Konstanten'!$A$6:$A$10,1)+1)-INDEX('Konstanten'!$A$6:$A$10,MATCH($I37,'Konstanten'!$A$6:$A$10,1)))*(INDEX('Konstanten'!$B$6:$B$10,MATCH($I37,'Konstanten'!$A$6:$A$10,1)+1)-INDEX('Konstanten'!$B$6:$B$10,MATCH($I37,'Konstanten'!$A$6:$A$10,1))),INDEX('Konstanten'!$B$6:$B$10,MATCH($I37,'Konstanten'!$A$6:$A$10,1))),""))</f>
        <v/>
      </c>
      <c r="P37" s="62">
        <f>IF($B37="","",IFERROR(IFERROR(INDEX('Konstanten'!$C$6:$C$10,MATCH($I37,'Konstanten'!$A$6:$A$10,1))+($I37-INDEX('Konstanten'!$A$6:$A$10,MATCH($I37,'Konstanten'!$A$6:$A$10,1)))/(INDEX('Konstanten'!$A$6:$A$10,MATCH($I37,'Konstanten'!$A$6:$A$10,1)+1)-INDEX('Konstanten'!$A$6:$A$10,MATCH($I37,'Konstanten'!$A$6:$A$10,1)))*(INDEX('Konstanten'!$C$6:$C$10,MATCH($I37,'Konstanten'!$A$6:$A$10,1)+1)-INDEX('Konstanten'!$C$6:$C$10,MATCH($I37,'Konstanten'!$A$6:$A$10,1))),INDEX('Konstanten'!$C$6:$C$10,MATCH($I37,'Konstanten'!$A$6:$A$10,1))),""))</f>
        <v/>
      </c>
      <c r="Q37" s="63">
        <f>IF(OR($B37="",$N37="",$O37="",$P37=""),"",'Konstanten'!$C$13*$O37*$P37^(1-($J37/1000)/0.075)*'Konstanten'!$C$14^'Konstanten'!$C$16*'Konstanten'!$C$15^'Konstanten'!$C$17*$N37)</f>
        <v/>
      </c>
      <c r="R37" s="64">
        <f>IF(OR($B37="",$Q37=""),"",$E37+$Q37/'Grundeinstellungen'!$J$6)</f>
        <v/>
      </c>
      <c r="S37" s="64">
        <f>IF($B37="","",IFERROR(VLOOKUP($M37,'Konstanten'!$H$6:$I$13,2,FALSE),29))</f>
        <v/>
      </c>
      <c r="T37" s="65">
        <f>IF(OR($B37="",$Q37=""),"",$Q37*$H37)</f>
        <v/>
      </c>
      <c r="U37" s="66">
        <f>IF(OR($B37="",$T37=""),"",$T37-$F37)</f>
        <v/>
      </c>
      <c r="V37" s="67">
        <f>IF(OR($B37="",$T37=""),"",IFERROR($T37/$F37,""))</f>
        <v/>
      </c>
      <c r="W37" s="65">
        <f>IF(OR($B37="",$H37=""),"",'Grundeinstellungen'!$J$13*$H37)</f>
        <v/>
      </c>
      <c r="X37" s="65">
        <f>IF(OR($B37="",$T37=""),"",MIN($T37,$F37)+$W37)</f>
        <v/>
      </c>
      <c r="Y37" s="68">
        <f>IF($B37="","",IFERROR($H37/($J37/1000),""))</f>
        <v/>
      </c>
      <c r="Z37" s="68">
        <f>IF($B37="","",IFERROR(2*$L37*$K37,""))</f>
        <v/>
      </c>
      <c r="AA37" s="68">
        <f>IF(OR($B37="",$Y37="",$Z37=""),"",$Y37+$Z37)</f>
        <v/>
      </c>
      <c r="AB37" s="68">
        <f>IF(OR($B37="",$AA37=""),"",IFERROR($AA37/$K37,""))</f>
        <v/>
      </c>
      <c r="AC37" s="69">
        <f>IF(OR($B37="",$X37=""),"",IFERROR(($X37/$K37)/('Grundeinstellungen'!$C$16*('Grundeinstellungen'!$C$6-'Grundeinstellungen'!$C$7))*3600,""))</f>
        <v/>
      </c>
      <c r="AD37" s="70">
        <f>IF(OR($B37="",$AC37=""),"",$AC37/'Grundeinstellungen'!$C$15*1000)</f>
        <v/>
      </c>
      <c r="AE37" s="71">
        <f>IF(OR($B37="",$AC37=""),"",IFERROR($AC37/3600/'Grundeinstellungen'!$C$15/'Grundeinstellungen'!$J$22,""))</f>
        <v/>
      </c>
      <c r="AF37" s="72">
        <f>IF(OR($B37="",$AE37=""),"",IFERROR($AE37*'Grundeinstellungen'!$J$21/'Grundeinstellungen'!$C$17,""))</f>
        <v/>
      </c>
      <c r="AG37" s="73">
        <f>IF(OR($B37="",$AF37=""),"",IF($AF37&lt;2300,"laminar",IF($AF37&lt;4000,"Übergangsbereich","turbulent")))</f>
        <v/>
      </c>
      <c r="AH37" s="74">
        <f>IF(OR($B37="",$AF37=""),"",IF($AF37&lt;2300,64/$AF37,0.316/$AF37^0.25))</f>
        <v/>
      </c>
      <c r="AI37" s="75">
        <f>IF(OR($B37="",$AH37="",$AB37=""),"",IFERROR($AH37*($AB37/'Grundeinstellungen'!$J$21)*('Grundeinstellungen'!$C$15/2)*$AE37^2,""))</f>
        <v/>
      </c>
      <c r="AJ37" s="76">
        <f>IF(OR($B37="",$AI37="",$AB37=""),"",IFERROR($AI37/$AB37,""))</f>
        <v/>
      </c>
      <c r="AK37" s="75">
        <f>IF(OR($B37="",$AI37=""),"",$AI37*(1+'Grundeinstellungen'!$C$24)+'Grundeinstellungen'!$C$25)</f>
        <v/>
      </c>
    </row>
    <row r="38">
      <c r="A38" s="51" t="n"/>
      <c r="B38" s="51" t="n"/>
      <c r="C38" s="51" t="n"/>
      <c r="D38" s="52" t="n"/>
      <c r="E38" s="53" t="n"/>
      <c r="F38" s="54" t="n"/>
      <c r="G38" s="55">
        <f>IF($B38="","",IFERROR($F38/$D38,""))</f>
        <v/>
      </c>
      <c r="H38" s="52" t="n"/>
      <c r="I38" s="56" t="n"/>
      <c r="J38" s="57" t="n"/>
      <c r="K38" s="58" t="n"/>
      <c r="L38" s="59" t="n"/>
      <c r="M38" s="60" t="n"/>
      <c r="N38" s="61">
        <f>IF($B38="","",IFERROR(('Grundeinstellungen'!$C$6-'Grundeinstellungen'!$C$7)/LN(('Grundeinstellungen'!$C$6-$E38)/('Grundeinstellungen'!$C$7-$E38)),""))</f>
        <v/>
      </c>
      <c r="O38" s="62">
        <f>IF($B38="","",IFERROR(IFERROR(INDEX('Konstanten'!$B$6:$B$10,MATCH($I38,'Konstanten'!$A$6:$A$10,1))+($I38-INDEX('Konstanten'!$A$6:$A$10,MATCH($I38,'Konstanten'!$A$6:$A$10,1)))/(INDEX('Konstanten'!$A$6:$A$10,MATCH($I38,'Konstanten'!$A$6:$A$10,1)+1)-INDEX('Konstanten'!$A$6:$A$10,MATCH($I38,'Konstanten'!$A$6:$A$10,1)))*(INDEX('Konstanten'!$B$6:$B$10,MATCH($I38,'Konstanten'!$A$6:$A$10,1)+1)-INDEX('Konstanten'!$B$6:$B$10,MATCH($I38,'Konstanten'!$A$6:$A$10,1))),INDEX('Konstanten'!$B$6:$B$10,MATCH($I38,'Konstanten'!$A$6:$A$10,1))),""))</f>
        <v/>
      </c>
      <c r="P38" s="62">
        <f>IF($B38="","",IFERROR(IFERROR(INDEX('Konstanten'!$C$6:$C$10,MATCH($I38,'Konstanten'!$A$6:$A$10,1))+($I38-INDEX('Konstanten'!$A$6:$A$10,MATCH($I38,'Konstanten'!$A$6:$A$10,1)))/(INDEX('Konstanten'!$A$6:$A$10,MATCH($I38,'Konstanten'!$A$6:$A$10,1)+1)-INDEX('Konstanten'!$A$6:$A$10,MATCH($I38,'Konstanten'!$A$6:$A$10,1)))*(INDEX('Konstanten'!$C$6:$C$10,MATCH($I38,'Konstanten'!$A$6:$A$10,1)+1)-INDEX('Konstanten'!$C$6:$C$10,MATCH($I38,'Konstanten'!$A$6:$A$10,1))),INDEX('Konstanten'!$C$6:$C$10,MATCH($I38,'Konstanten'!$A$6:$A$10,1))),""))</f>
        <v/>
      </c>
      <c r="Q38" s="63">
        <f>IF(OR($B38="",$N38="",$O38="",$P38=""),"",'Konstanten'!$C$13*$O38*$P38^(1-($J38/1000)/0.075)*'Konstanten'!$C$14^'Konstanten'!$C$16*'Konstanten'!$C$15^'Konstanten'!$C$17*$N38)</f>
        <v/>
      </c>
      <c r="R38" s="64">
        <f>IF(OR($B38="",$Q38=""),"",$E38+$Q38/'Grundeinstellungen'!$J$6)</f>
        <v/>
      </c>
      <c r="S38" s="64">
        <f>IF($B38="","",IFERROR(VLOOKUP($M38,'Konstanten'!$H$6:$I$13,2,FALSE),29))</f>
        <v/>
      </c>
      <c r="T38" s="65">
        <f>IF(OR($B38="",$Q38=""),"",$Q38*$H38)</f>
        <v/>
      </c>
      <c r="U38" s="66">
        <f>IF(OR($B38="",$T38=""),"",$T38-$F38)</f>
        <v/>
      </c>
      <c r="V38" s="67">
        <f>IF(OR($B38="",$T38=""),"",IFERROR($T38/$F38,""))</f>
        <v/>
      </c>
      <c r="W38" s="65">
        <f>IF(OR($B38="",$H38=""),"",'Grundeinstellungen'!$J$13*$H38)</f>
        <v/>
      </c>
      <c r="X38" s="65">
        <f>IF(OR($B38="",$T38=""),"",MIN($T38,$F38)+$W38)</f>
        <v/>
      </c>
      <c r="Y38" s="68">
        <f>IF($B38="","",IFERROR($H38/($J38/1000),""))</f>
        <v/>
      </c>
      <c r="Z38" s="68">
        <f>IF($B38="","",IFERROR(2*$L38*$K38,""))</f>
        <v/>
      </c>
      <c r="AA38" s="68">
        <f>IF(OR($B38="",$Y38="",$Z38=""),"",$Y38+$Z38)</f>
        <v/>
      </c>
      <c r="AB38" s="68">
        <f>IF(OR($B38="",$AA38=""),"",IFERROR($AA38/$K38,""))</f>
        <v/>
      </c>
      <c r="AC38" s="69">
        <f>IF(OR($B38="",$X38=""),"",IFERROR(($X38/$K38)/('Grundeinstellungen'!$C$16*('Grundeinstellungen'!$C$6-'Grundeinstellungen'!$C$7))*3600,""))</f>
        <v/>
      </c>
      <c r="AD38" s="70">
        <f>IF(OR($B38="",$AC38=""),"",$AC38/'Grundeinstellungen'!$C$15*1000)</f>
        <v/>
      </c>
      <c r="AE38" s="71">
        <f>IF(OR($B38="",$AC38=""),"",IFERROR($AC38/3600/'Grundeinstellungen'!$C$15/'Grundeinstellungen'!$J$22,""))</f>
        <v/>
      </c>
      <c r="AF38" s="72">
        <f>IF(OR($B38="",$AE38=""),"",IFERROR($AE38*'Grundeinstellungen'!$J$21/'Grundeinstellungen'!$C$17,""))</f>
        <v/>
      </c>
      <c r="AG38" s="73">
        <f>IF(OR($B38="",$AF38=""),"",IF($AF38&lt;2300,"laminar",IF($AF38&lt;4000,"Übergangsbereich","turbulent")))</f>
        <v/>
      </c>
      <c r="AH38" s="74">
        <f>IF(OR($B38="",$AF38=""),"",IF($AF38&lt;2300,64/$AF38,0.316/$AF38^0.25))</f>
        <v/>
      </c>
      <c r="AI38" s="75">
        <f>IF(OR($B38="",$AH38="",$AB38=""),"",IFERROR($AH38*($AB38/'Grundeinstellungen'!$J$21)*('Grundeinstellungen'!$C$15/2)*$AE38^2,""))</f>
        <v/>
      </c>
      <c r="AJ38" s="76">
        <f>IF(OR($B38="",$AI38="",$AB38=""),"",IFERROR($AI38/$AB38,""))</f>
        <v/>
      </c>
      <c r="AK38" s="75">
        <f>IF(OR($B38="",$AI38=""),"",$AI38*(1+'Grundeinstellungen'!$C$24)+'Grundeinstellungen'!$C$25)</f>
        <v/>
      </c>
    </row>
    <row r="39">
      <c r="A39" s="51" t="n"/>
      <c r="B39" s="51" t="n"/>
      <c r="C39" s="51" t="n"/>
      <c r="D39" s="52" t="n"/>
      <c r="E39" s="53" t="n"/>
      <c r="F39" s="54" t="n"/>
      <c r="G39" s="55">
        <f>IF($B39="","",IFERROR($F39/$D39,""))</f>
        <v/>
      </c>
      <c r="H39" s="52" t="n"/>
      <c r="I39" s="56" t="n"/>
      <c r="J39" s="57" t="n"/>
      <c r="K39" s="58" t="n"/>
      <c r="L39" s="59" t="n"/>
      <c r="M39" s="60" t="n"/>
      <c r="N39" s="61">
        <f>IF($B39="","",IFERROR(('Grundeinstellungen'!$C$6-'Grundeinstellungen'!$C$7)/LN(('Grundeinstellungen'!$C$6-$E39)/('Grundeinstellungen'!$C$7-$E39)),""))</f>
        <v/>
      </c>
      <c r="O39" s="62">
        <f>IF($B39="","",IFERROR(IFERROR(INDEX('Konstanten'!$B$6:$B$10,MATCH($I39,'Konstanten'!$A$6:$A$10,1))+($I39-INDEX('Konstanten'!$A$6:$A$10,MATCH($I39,'Konstanten'!$A$6:$A$10,1)))/(INDEX('Konstanten'!$A$6:$A$10,MATCH($I39,'Konstanten'!$A$6:$A$10,1)+1)-INDEX('Konstanten'!$A$6:$A$10,MATCH($I39,'Konstanten'!$A$6:$A$10,1)))*(INDEX('Konstanten'!$B$6:$B$10,MATCH($I39,'Konstanten'!$A$6:$A$10,1)+1)-INDEX('Konstanten'!$B$6:$B$10,MATCH($I39,'Konstanten'!$A$6:$A$10,1))),INDEX('Konstanten'!$B$6:$B$10,MATCH($I39,'Konstanten'!$A$6:$A$10,1))),""))</f>
        <v/>
      </c>
      <c r="P39" s="62">
        <f>IF($B39="","",IFERROR(IFERROR(INDEX('Konstanten'!$C$6:$C$10,MATCH($I39,'Konstanten'!$A$6:$A$10,1))+($I39-INDEX('Konstanten'!$A$6:$A$10,MATCH($I39,'Konstanten'!$A$6:$A$10,1)))/(INDEX('Konstanten'!$A$6:$A$10,MATCH($I39,'Konstanten'!$A$6:$A$10,1)+1)-INDEX('Konstanten'!$A$6:$A$10,MATCH($I39,'Konstanten'!$A$6:$A$10,1)))*(INDEX('Konstanten'!$C$6:$C$10,MATCH($I39,'Konstanten'!$A$6:$A$10,1)+1)-INDEX('Konstanten'!$C$6:$C$10,MATCH($I39,'Konstanten'!$A$6:$A$10,1))),INDEX('Konstanten'!$C$6:$C$10,MATCH($I39,'Konstanten'!$A$6:$A$10,1))),""))</f>
        <v/>
      </c>
      <c r="Q39" s="63">
        <f>IF(OR($B39="",$N39="",$O39="",$P39=""),"",'Konstanten'!$C$13*$O39*$P39^(1-($J39/1000)/0.075)*'Konstanten'!$C$14^'Konstanten'!$C$16*'Konstanten'!$C$15^'Konstanten'!$C$17*$N39)</f>
        <v/>
      </c>
      <c r="R39" s="64">
        <f>IF(OR($B39="",$Q39=""),"",$E39+$Q39/'Grundeinstellungen'!$J$6)</f>
        <v/>
      </c>
      <c r="S39" s="64">
        <f>IF($B39="","",IFERROR(VLOOKUP($M39,'Konstanten'!$H$6:$I$13,2,FALSE),29))</f>
        <v/>
      </c>
      <c r="T39" s="65">
        <f>IF(OR($B39="",$Q39=""),"",$Q39*$H39)</f>
        <v/>
      </c>
      <c r="U39" s="66">
        <f>IF(OR($B39="",$T39=""),"",$T39-$F39)</f>
        <v/>
      </c>
      <c r="V39" s="67">
        <f>IF(OR($B39="",$T39=""),"",IFERROR($T39/$F39,""))</f>
        <v/>
      </c>
      <c r="W39" s="65">
        <f>IF(OR($B39="",$H39=""),"",'Grundeinstellungen'!$J$13*$H39)</f>
        <v/>
      </c>
      <c r="X39" s="65">
        <f>IF(OR($B39="",$T39=""),"",MIN($T39,$F39)+$W39)</f>
        <v/>
      </c>
      <c r="Y39" s="68">
        <f>IF($B39="","",IFERROR($H39/($J39/1000),""))</f>
        <v/>
      </c>
      <c r="Z39" s="68">
        <f>IF($B39="","",IFERROR(2*$L39*$K39,""))</f>
        <v/>
      </c>
      <c r="AA39" s="68">
        <f>IF(OR($B39="",$Y39="",$Z39=""),"",$Y39+$Z39)</f>
        <v/>
      </c>
      <c r="AB39" s="68">
        <f>IF(OR($B39="",$AA39=""),"",IFERROR($AA39/$K39,""))</f>
        <v/>
      </c>
      <c r="AC39" s="69">
        <f>IF(OR($B39="",$X39=""),"",IFERROR(($X39/$K39)/('Grundeinstellungen'!$C$16*('Grundeinstellungen'!$C$6-'Grundeinstellungen'!$C$7))*3600,""))</f>
        <v/>
      </c>
      <c r="AD39" s="70">
        <f>IF(OR($B39="",$AC39=""),"",$AC39/'Grundeinstellungen'!$C$15*1000)</f>
        <v/>
      </c>
      <c r="AE39" s="71">
        <f>IF(OR($B39="",$AC39=""),"",IFERROR($AC39/3600/'Grundeinstellungen'!$C$15/'Grundeinstellungen'!$J$22,""))</f>
        <v/>
      </c>
      <c r="AF39" s="72">
        <f>IF(OR($B39="",$AE39=""),"",IFERROR($AE39*'Grundeinstellungen'!$J$21/'Grundeinstellungen'!$C$17,""))</f>
        <v/>
      </c>
      <c r="AG39" s="73">
        <f>IF(OR($B39="",$AF39=""),"",IF($AF39&lt;2300,"laminar",IF($AF39&lt;4000,"Übergangsbereich","turbulent")))</f>
        <v/>
      </c>
      <c r="AH39" s="74">
        <f>IF(OR($B39="",$AF39=""),"",IF($AF39&lt;2300,64/$AF39,0.316/$AF39^0.25))</f>
        <v/>
      </c>
      <c r="AI39" s="75">
        <f>IF(OR($B39="",$AH39="",$AB39=""),"",IFERROR($AH39*($AB39/'Grundeinstellungen'!$J$21)*('Grundeinstellungen'!$C$15/2)*$AE39^2,""))</f>
        <v/>
      </c>
      <c r="AJ39" s="76">
        <f>IF(OR($B39="",$AI39="",$AB39=""),"",IFERROR($AI39/$AB39,""))</f>
        <v/>
      </c>
      <c r="AK39" s="75">
        <f>IF(OR($B39="",$AI39=""),"",$AI39*(1+'Grundeinstellungen'!$C$24)+'Grundeinstellungen'!$C$25)</f>
        <v/>
      </c>
    </row>
    <row r="40">
      <c r="A40" s="51" t="n"/>
      <c r="B40" s="51" t="n"/>
      <c r="C40" s="51" t="n"/>
      <c r="D40" s="52" t="n"/>
      <c r="E40" s="53" t="n"/>
      <c r="F40" s="54" t="n"/>
      <c r="G40" s="55">
        <f>IF($B40="","",IFERROR($F40/$D40,""))</f>
        <v/>
      </c>
      <c r="H40" s="52" t="n"/>
      <c r="I40" s="56" t="n"/>
      <c r="J40" s="57" t="n"/>
      <c r="K40" s="58" t="n"/>
      <c r="L40" s="59" t="n"/>
      <c r="M40" s="60" t="n"/>
      <c r="N40" s="61">
        <f>IF($B40="","",IFERROR(('Grundeinstellungen'!$C$6-'Grundeinstellungen'!$C$7)/LN(('Grundeinstellungen'!$C$6-$E40)/('Grundeinstellungen'!$C$7-$E40)),""))</f>
        <v/>
      </c>
      <c r="O40" s="62">
        <f>IF($B40="","",IFERROR(IFERROR(INDEX('Konstanten'!$B$6:$B$10,MATCH($I40,'Konstanten'!$A$6:$A$10,1))+($I40-INDEX('Konstanten'!$A$6:$A$10,MATCH($I40,'Konstanten'!$A$6:$A$10,1)))/(INDEX('Konstanten'!$A$6:$A$10,MATCH($I40,'Konstanten'!$A$6:$A$10,1)+1)-INDEX('Konstanten'!$A$6:$A$10,MATCH($I40,'Konstanten'!$A$6:$A$10,1)))*(INDEX('Konstanten'!$B$6:$B$10,MATCH($I40,'Konstanten'!$A$6:$A$10,1)+1)-INDEX('Konstanten'!$B$6:$B$10,MATCH($I40,'Konstanten'!$A$6:$A$10,1))),INDEX('Konstanten'!$B$6:$B$10,MATCH($I40,'Konstanten'!$A$6:$A$10,1))),""))</f>
        <v/>
      </c>
      <c r="P40" s="62">
        <f>IF($B40="","",IFERROR(IFERROR(INDEX('Konstanten'!$C$6:$C$10,MATCH($I40,'Konstanten'!$A$6:$A$10,1))+($I40-INDEX('Konstanten'!$A$6:$A$10,MATCH($I40,'Konstanten'!$A$6:$A$10,1)))/(INDEX('Konstanten'!$A$6:$A$10,MATCH($I40,'Konstanten'!$A$6:$A$10,1)+1)-INDEX('Konstanten'!$A$6:$A$10,MATCH($I40,'Konstanten'!$A$6:$A$10,1)))*(INDEX('Konstanten'!$C$6:$C$10,MATCH($I40,'Konstanten'!$A$6:$A$10,1)+1)-INDEX('Konstanten'!$C$6:$C$10,MATCH($I40,'Konstanten'!$A$6:$A$10,1))),INDEX('Konstanten'!$C$6:$C$10,MATCH($I40,'Konstanten'!$A$6:$A$10,1))),""))</f>
        <v/>
      </c>
      <c r="Q40" s="63">
        <f>IF(OR($B40="",$N40="",$O40="",$P40=""),"",'Konstanten'!$C$13*$O40*$P40^(1-($J40/1000)/0.075)*'Konstanten'!$C$14^'Konstanten'!$C$16*'Konstanten'!$C$15^'Konstanten'!$C$17*$N40)</f>
        <v/>
      </c>
      <c r="R40" s="64">
        <f>IF(OR($B40="",$Q40=""),"",$E40+$Q40/'Grundeinstellungen'!$J$6)</f>
        <v/>
      </c>
      <c r="S40" s="64">
        <f>IF($B40="","",IFERROR(VLOOKUP($M40,'Konstanten'!$H$6:$I$13,2,FALSE),29))</f>
        <v/>
      </c>
      <c r="T40" s="65">
        <f>IF(OR($B40="",$Q40=""),"",$Q40*$H40)</f>
        <v/>
      </c>
      <c r="U40" s="66">
        <f>IF(OR($B40="",$T40=""),"",$T40-$F40)</f>
        <v/>
      </c>
      <c r="V40" s="67">
        <f>IF(OR($B40="",$T40=""),"",IFERROR($T40/$F40,""))</f>
        <v/>
      </c>
      <c r="W40" s="65">
        <f>IF(OR($B40="",$H40=""),"",'Grundeinstellungen'!$J$13*$H40)</f>
        <v/>
      </c>
      <c r="X40" s="65">
        <f>IF(OR($B40="",$T40=""),"",MIN($T40,$F40)+$W40)</f>
        <v/>
      </c>
      <c r="Y40" s="68">
        <f>IF($B40="","",IFERROR($H40/($J40/1000),""))</f>
        <v/>
      </c>
      <c r="Z40" s="68">
        <f>IF($B40="","",IFERROR(2*$L40*$K40,""))</f>
        <v/>
      </c>
      <c r="AA40" s="68">
        <f>IF(OR($B40="",$Y40="",$Z40=""),"",$Y40+$Z40)</f>
        <v/>
      </c>
      <c r="AB40" s="68">
        <f>IF(OR($B40="",$AA40=""),"",IFERROR($AA40/$K40,""))</f>
        <v/>
      </c>
      <c r="AC40" s="69">
        <f>IF(OR($B40="",$X40=""),"",IFERROR(($X40/$K40)/('Grundeinstellungen'!$C$16*('Grundeinstellungen'!$C$6-'Grundeinstellungen'!$C$7))*3600,""))</f>
        <v/>
      </c>
      <c r="AD40" s="70">
        <f>IF(OR($B40="",$AC40=""),"",$AC40/'Grundeinstellungen'!$C$15*1000)</f>
        <v/>
      </c>
      <c r="AE40" s="71">
        <f>IF(OR($B40="",$AC40=""),"",IFERROR($AC40/3600/'Grundeinstellungen'!$C$15/'Grundeinstellungen'!$J$22,""))</f>
        <v/>
      </c>
      <c r="AF40" s="72">
        <f>IF(OR($B40="",$AE40=""),"",IFERROR($AE40*'Grundeinstellungen'!$J$21/'Grundeinstellungen'!$C$17,""))</f>
        <v/>
      </c>
      <c r="AG40" s="73">
        <f>IF(OR($B40="",$AF40=""),"",IF($AF40&lt;2300,"laminar",IF($AF40&lt;4000,"Übergangsbereich","turbulent")))</f>
        <v/>
      </c>
      <c r="AH40" s="74">
        <f>IF(OR($B40="",$AF40=""),"",IF($AF40&lt;2300,64/$AF40,0.316/$AF40^0.25))</f>
        <v/>
      </c>
      <c r="AI40" s="75">
        <f>IF(OR($B40="",$AH40="",$AB40=""),"",IFERROR($AH40*($AB40/'Grundeinstellungen'!$J$21)*('Grundeinstellungen'!$C$15/2)*$AE40^2,""))</f>
        <v/>
      </c>
      <c r="AJ40" s="76">
        <f>IF(OR($B40="",$AI40="",$AB40=""),"",IFERROR($AI40/$AB40,""))</f>
        <v/>
      </c>
      <c r="AK40" s="75">
        <f>IF(OR($B40="",$AI40=""),"",$AI40*(1+'Grundeinstellungen'!$C$24)+'Grundeinstellungen'!$C$25)</f>
        <v/>
      </c>
    </row>
    <row r="41">
      <c r="A41" s="51" t="n"/>
      <c r="B41" s="51" t="n"/>
      <c r="C41" s="51" t="n"/>
      <c r="D41" s="52" t="n"/>
      <c r="E41" s="53" t="n"/>
      <c r="F41" s="54" t="n"/>
      <c r="G41" s="55">
        <f>IF($B41="","",IFERROR($F41/$D41,""))</f>
        <v/>
      </c>
      <c r="H41" s="52" t="n"/>
      <c r="I41" s="56" t="n"/>
      <c r="J41" s="57" t="n"/>
      <c r="K41" s="58" t="n"/>
      <c r="L41" s="59" t="n"/>
      <c r="M41" s="60" t="n"/>
      <c r="N41" s="61">
        <f>IF($B41="","",IFERROR(('Grundeinstellungen'!$C$6-'Grundeinstellungen'!$C$7)/LN(('Grundeinstellungen'!$C$6-$E41)/('Grundeinstellungen'!$C$7-$E41)),""))</f>
        <v/>
      </c>
      <c r="O41" s="62">
        <f>IF($B41="","",IFERROR(IFERROR(INDEX('Konstanten'!$B$6:$B$10,MATCH($I41,'Konstanten'!$A$6:$A$10,1))+($I41-INDEX('Konstanten'!$A$6:$A$10,MATCH($I41,'Konstanten'!$A$6:$A$10,1)))/(INDEX('Konstanten'!$A$6:$A$10,MATCH($I41,'Konstanten'!$A$6:$A$10,1)+1)-INDEX('Konstanten'!$A$6:$A$10,MATCH($I41,'Konstanten'!$A$6:$A$10,1)))*(INDEX('Konstanten'!$B$6:$B$10,MATCH($I41,'Konstanten'!$A$6:$A$10,1)+1)-INDEX('Konstanten'!$B$6:$B$10,MATCH($I41,'Konstanten'!$A$6:$A$10,1))),INDEX('Konstanten'!$B$6:$B$10,MATCH($I41,'Konstanten'!$A$6:$A$10,1))),""))</f>
        <v/>
      </c>
      <c r="P41" s="62">
        <f>IF($B41="","",IFERROR(IFERROR(INDEX('Konstanten'!$C$6:$C$10,MATCH($I41,'Konstanten'!$A$6:$A$10,1))+($I41-INDEX('Konstanten'!$A$6:$A$10,MATCH($I41,'Konstanten'!$A$6:$A$10,1)))/(INDEX('Konstanten'!$A$6:$A$10,MATCH($I41,'Konstanten'!$A$6:$A$10,1)+1)-INDEX('Konstanten'!$A$6:$A$10,MATCH($I41,'Konstanten'!$A$6:$A$10,1)))*(INDEX('Konstanten'!$C$6:$C$10,MATCH($I41,'Konstanten'!$A$6:$A$10,1)+1)-INDEX('Konstanten'!$C$6:$C$10,MATCH($I41,'Konstanten'!$A$6:$A$10,1))),INDEX('Konstanten'!$C$6:$C$10,MATCH($I41,'Konstanten'!$A$6:$A$10,1))),""))</f>
        <v/>
      </c>
      <c r="Q41" s="63">
        <f>IF(OR($B41="",$N41="",$O41="",$P41=""),"",'Konstanten'!$C$13*$O41*$P41^(1-($J41/1000)/0.075)*'Konstanten'!$C$14^'Konstanten'!$C$16*'Konstanten'!$C$15^'Konstanten'!$C$17*$N41)</f>
        <v/>
      </c>
      <c r="R41" s="64">
        <f>IF(OR($B41="",$Q41=""),"",$E41+$Q41/'Grundeinstellungen'!$J$6)</f>
        <v/>
      </c>
      <c r="S41" s="64">
        <f>IF($B41="","",IFERROR(VLOOKUP($M41,'Konstanten'!$H$6:$I$13,2,FALSE),29))</f>
        <v/>
      </c>
      <c r="T41" s="65">
        <f>IF(OR($B41="",$Q41=""),"",$Q41*$H41)</f>
        <v/>
      </c>
      <c r="U41" s="66">
        <f>IF(OR($B41="",$T41=""),"",$T41-$F41)</f>
        <v/>
      </c>
      <c r="V41" s="67">
        <f>IF(OR($B41="",$T41=""),"",IFERROR($T41/$F41,""))</f>
        <v/>
      </c>
      <c r="W41" s="65">
        <f>IF(OR($B41="",$H41=""),"",'Grundeinstellungen'!$J$13*$H41)</f>
        <v/>
      </c>
      <c r="X41" s="65">
        <f>IF(OR($B41="",$T41=""),"",MIN($T41,$F41)+$W41)</f>
        <v/>
      </c>
      <c r="Y41" s="68">
        <f>IF($B41="","",IFERROR($H41/($J41/1000),""))</f>
        <v/>
      </c>
      <c r="Z41" s="68">
        <f>IF($B41="","",IFERROR(2*$L41*$K41,""))</f>
        <v/>
      </c>
      <c r="AA41" s="68">
        <f>IF(OR($B41="",$Y41="",$Z41=""),"",$Y41+$Z41)</f>
        <v/>
      </c>
      <c r="AB41" s="68">
        <f>IF(OR($B41="",$AA41=""),"",IFERROR($AA41/$K41,""))</f>
        <v/>
      </c>
      <c r="AC41" s="69">
        <f>IF(OR($B41="",$X41=""),"",IFERROR(($X41/$K41)/('Grundeinstellungen'!$C$16*('Grundeinstellungen'!$C$6-'Grundeinstellungen'!$C$7))*3600,""))</f>
        <v/>
      </c>
      <c r="AD41" s="70">
        <f>IF(OR($B41="",$AC41=""),"",$AC41/'Grundeinstellungen'!$C$15*1000)</f>
        <v/>
      </c>
      <c r="AE41" s="71">
        <f>IF(OR($B41="",$AC41=""),"",IFERROR($AC41/3600/'Grundeinstellungen'!$C$15/'Grundeinstellungen'!$J$22,""))</f>
        <v/>
      </c>
      <c r="AF41" s="72">
        <f>IF(OR($B41="",$AE41=""),"",IFERROR($AE41*'Grundeinstellungen'!$J$21/'Grundeinstellungen'!$C$17,""))</f>
        <v/>
      </c>
      <c r="AG41" s="73">
        <f>IF(OR($B41="",$AF41=""),"",IF($AF41&lt;2300,"laminar",IF($AF41&lt;4000,"Übergangsbereich","turbulent")))</f>
        <v/>
      </c>
      <c r="AH41" s="74">
        <f>IF(OR($B41="",$AF41=""),"",IF($AF41&lt;2300,64/$AF41,0.316/$AF41^0.25))</f>
        <v/>
      </c>
      <c r="AI41" s="75">
        <f>IF(OR($B41="",$AH41="",$AB41=""),"",IFERROR($AH41*($AB41/'Grundeinstellungen'!$J$21)*('Grundeinstellungen'!$C$15/2)*$AE41^2,""))</f>
        <v/>
      </c>
      <c r="AJ41" s="76">
        <f>IF(OR($B41="",$AI41="",$AB41=""),"",IFERROR($AI41/$AB41,""))</f>
        <v/>
      </c>
      <c r="AK41" s="75">
        <f>IF(OR($B41="",$AI41=""),"",$AI41*(1+'Grundeinstellungen'!$C$24)+'Grundeinstellungen'!$C$25)</f>
        <v/>
      </c>
    </row>
    <row r="42">
      <c r="A42" s="51" t="n"/>
      <c r="B42" s="51" t="n"/>
      <c r="C42" s="51" t="n"/>
      <c r="D42" s="52" t="n"/>
      <c r="E42" s="53" t="n"/>
      <c r="F42" s="54" t="n"/>
      <c r="G42" s="55">
        <f>IF($B42="","",IFERROR($F42/$D42,""))</f>
        <v/>
      </c>
      <c r="H42" s="52" t="n"/>
      <c r="I42" s="56" t="n"/>
      <c r="J42" s="57" t="n"/>
      <c r="K42" s="58" t="n"/>
      <c r="L42" s="59" t="n"/>
      <c r="M42" s="60" t="n"/>
      <c r="N42" s="61">
        <f>IF($B42="","",IFERROR(('Grundeinstellungen'!$C$6-'Grundeinstellungen'!$C$7)/LN(('Grundeinstellungen'!$C$6-$E42)/('Grundeinstellungen'!$C$7-$E42)),""))</f>
        <v/>
      </c>
      <c r="O42" s="62">
        <f>IF($B42="","",IFERROR(IFERROR(INDEX('Konstanten'!$B$6:$B$10,MATCH($I42,'Konstanten'!$A$6:$A$10,1))+($I42-INDEX('Konstanten'!$A$6:$A$10,MATCH($I42,'Konstanten'!$A$6:$A$10,1)))/(INDEX('Konstanten'!$A$6:$A$10,MATCH($I42,'Konstanten'!$A$6:$A$10,1)+1)-INDEX('Konstanten'!$A$6:$A$10,MATCH($I42,'Konstanten'!$A$6:$A$10,1)))*(INDEX('Konstanten'!$B$6:$B$10,MATCH($I42,'Konstanten'!$A$6:$A$10,1)+1)-INDEX('Konstanten'!$B$6:$B$10,MATCH($I42,'Konstanten'!$A$6:$A$10,1))),INDEX('Konstanten'!$B$6:$B$10,MATCH($I42,'Konstanten'!$A$6:$A$10,1))),""))</f>
        <v/>
      </c>
      <c r="P42" s="62">
        <f>IF($B42="","",IFERROR(IFERROR(INDEX('Konstanten'!$C$6:$C$10,MATCH($I42,'Konstanten'!$A$6:$A$10,1))+($I42-INDEX('Konstanten'!$A$6:$A$10,MATCH($I42,'Konstanten'!$A$6:$A$10,1)))/(INDEX('Konstanten'!$A$6:$A$10,MATCH($I42,'Konstanten'!$A$6:$A$10,1)+1)-INDEX('Konstanten'!$A$6:$A$10,MATCH($I42,'Konstanten'!$A$6:$A$10,1)))*(INDEX('Konstanten'!$C$6:$C$10,MATCH($I42,'Konstanten'!$A$6:$A$10,1)+1)-INDEX('Konstanten'!$C$6:$C$10,MATCH($I42,'Konstanten'!$A$6:$A$10,1))),INDEX('Konstanten'!$C$6:$C$10,MATCH($I42,'Konstanten'!$A$6:$A$10,1))),""))</f>
        <v/>
      </c>
      <c r="Q42" s="63">
        <f>IF(OR($B42="",$N42="",$O42="",$P42=""),"",'Konstanten'!$C$13*$O42*$P42^(1-($J42/1000)/0.075)*'Konstanten'!$C$14^'Konstanten'!$C$16*'Konstanten'!$C$15^'Konstanten'!$C$17*$N42)</f>
        <v/>
      </c>
      <c r="R42" s="64">
        <f>IF(OR($B42="",$Q42=""),"",$E42+$Q42/'Grundeinstellungen'!$J$6)</f>
        <v/>
      </c>
      <c r="S42" s="64">
        <f>IF($B42="","",IFERROR(VLOOKUP($M42,'Konstanten'!$H$6:$I$13,2,FALSE),29))</f>
        <v/>
      </c>
      <c r="T42" s="65">
        <f>IF(OR($B42="",$Q42=""),"",$Q42*$H42)</f>
        <v/>
      </c>
      <c r="U42" s="66">
        <f>IF(OR($B42="",$T42=""),"",$T42-$F42)</f>
        <v/>
      </c>
      <c r="V42" s="67">
        <f>IF(OR($B42="",$T42=""),"",IFERROR($T42/$F42,""))</f>
        <v/>
      </c>
      <c r="W42" s="65">
        <f>IF(OR($B42="",$H42=""),"",'Grundeinstellungen'!$J$13*$H42)</f>
        <v/>
      </c>
      <c r="X42" s="65">
        <f>IF(OR($B42="",$T42=""),"",MIN($T42,$F42)+$W42)</f>
        <v/>
      </c>
      <c r="Y42" s="68">
        <f>IF($B42="","",IFERROR($H42/($J42/1000),""))</f>
        <v/>
      </c>
      <c r="Z42" s="68">
        <f>IF($B42="","",IFERROR(2*$L42*$K42,""))</f>
        <v/>
      </c>
      <c r="AA42" s="68">
        <f>IF(OR($B42="",$Y42="",$Z42=""),"",$Y42+$Z42)</f>
        <v/>
      </c>
      <c r="AB42" s="68">
        <f>IF(OR($B42="",$AA42=""),"",IFERROR($AA42/$K42,""))</f>
        <v/>
      </c>
      <c r="AC42" s="69">
        <f>IF(OR($B42="",$X42=""),"",IFERROR(($X42/$K42)/('Grundeinstellungen'!$C$16*('Grundeinstellungen'!$C$6-'Grundeinstellungen'!$C$7))*3600,""))</f>
        <v/>
      </c>
      <c r="AD42" s="70">
        <f>IF(OR($B42="",$AC42=""),"",$AC42/'Grundeinstellungen'!$C$15*1000)</f>
        <v/>
      </c>
      <c r="AE42" s="71">
        <f>IF(OR($B42="",$AC42=""),"",IFERROR($AC42/3600/'Grundeinstellungen'!$C$15/'Grundeinstellungen'!$J$22,""))</f>
        <v/>
      </c>
      <c r="AF42" s="72">
        <f>IF(OR($B42="",$AE42=""),"",IFERROR($AE42*'Grundeinstellungen'!$J$21/'Grundeinstellungen'!$C$17,""))</f>
        <v/>
      </c>
      <c r="AG42" s="73">
        <f>IF(OR($B42="",$AF42=""),"",IF($AF42&lt;2300,"laminar",IF($AF42&lt;4000,"Übergangsbereich","turbulent")))</f>
        <v/>
      </c>
      <c r="AH42" s="74">
        <f>IF(OR($B42="",$AF42=""),"",IF($AF42&lt;2300,64/$AF42,0.316/$AF42^0.25))</f>
        <v/>
      </c>
      <c r="AI42" s="75">
        <f>IF(OR($B42="",$AH42="",$AB42=""),"",IFERROR($AH42*($AB42/'Grundeinstellungen'!$J$21)*('Grundeinstellungen'!$C$15/2)*$AE42^2,""))</f>
        <v/>
      </c>
      <c r="AJ42" s="76">
        <f>IF(OR($B42="",$AI42="",$AB42=""),"",IFERROR($AI42/$AB42,""))</f>
        <v/>
      </c>
      <c r="AK42" s="75">
        <f>IF(OR($B42="",$AI42=""),"",$AI42*(1+'Grundeinstellungen'!$C$24)+'Grundeinstellungen'!$C$25)</f>
        <v/>
      </c>
    </row>
    <row r="43">
      <c r="A43" s="51" t="n"/>
      <c r="B43" s="51" t="n"/>
      <c r="C43" s="51" t="n"/>
      <c r="D43" s="52" t="n"/>
      <c r="E43" s="53" t="n"/>
      <c r="F43" s="54" t="n"/>
      <c r="G43" s="55">
        <f>IF($B43="","",IFERROR($F43/$D43,""))</f>
        <v/>
      </c>
      <c r="H43" s="52" t="n"/>
      <c r="I43" s="56" t="n"/>
      <c r="J43" s="57" t="n"/>
      <c r="K43" s="58" t="n"/>
      <c r="L43" s="59" t="n"/>
      <c r="M43" s="60" t="n"/>
      <c r="N43" s="61">
        <f>IF($B43="","",IFERROR(('Grundeinstellungen'!$C$6-'Grundeinstellungen'!$C$7)/LN(('Grundeinstellungen'!$C$6-$E43)/('Grundeinstellungen'!$C$7-$E43)),""))</f>
        <v/>
      </c>
      <c r="O43" s="62">
        <f>IF($B43="","",IFERROR(IFERROR(INDEX('Konstanten'!$B$6:$B$10,MATCH($I43,'Konstanten'!$A$6:$A$10,1))+($I43-INDEX('Konstanten'!$A$6:$A$10,MATCH($I43,'Konstanten'!$A$6:$A$10,1)))/(INDEX('Konstanten'!$A$6:$A$10,MATCH($I43,'Konstanten'!$A$6:$A$10,1)+1)-INDEX('Konstanten'!$A$6:$A$10,MATCH($I43,'Konstanten'!$A$6:$A$10,1)))*(INDEX('Konstanten'!$B$6:$B$10,MATCH($I43,'Konstanten'!$A$6:$A$10,1)+1)-INDEX('Konstanten'!$B$6:$B$10,MATCH($I43,'Konstanten'!$A$6:$A$10,1))),INDEX('Konstanten'!$B$6:$B$10,MATCH($I43,'Konstanten'!$A$6:$A$10,1))),""))</f>
        <v/>
      </c>
      <c r="P43" s="62">
        <f>IF($B43="","",IFERROR(IFERROR(INDEX('Konstanten'!$C$6:$C$10,MATCH($I43,'Konstanten'!$A$6:$A$10,1))+($I43-INDEX('Konstanten'!$A$6:$A$10,MATCH($I43,'Konstanten'!$A$6:$A$10,1)))/(INDEX('Konstanten'!$A$6:$A$10,MATCH($I43,'Konstanten'!$A$6:$A$10,1)+1)-INDEX('Konstanten'!$A$6:$A$10,MATCH($I43,'Konstanten'!$A$6:$A$10,1)))*(INDEX('Konstanten'!$C$6:$C$10,MATCH($I43,'Konstanten'!$A$6:$A$10,1)+1)-INDEX('Konstanten'!$C$6:$C$10,MATCH($I43,'Konstanten'!$A$6:$A$10,1))),INDEX('Konstanten'!$C$6:$C$10,MATCH($I43,'Konstanten'!$A$6:$A$10,1))),""))</f>
        <v/>
      </c>
      <c r="Q43" s="63">
        <f>IF(OR($B43="",$N43="",$O43="",$P43=""),"",'Konstanten'!$C$13*$O43*$P43^(1-($J43/1000)/0.075)*'Konstanten'!$C$14^'Konstanten'!$C$16*'Konstanten'!$C$15^'Konstanten'!$C$17*$N43)</f>
        <v/>
      </c>
      <c r="R43" s="64">
        <f>IF(OR($B43="",$Q43=""),"",$E43+$Q43/'Grundeinstellungen'!$J$6)</f>
        <v/>
      </c>
      <c r="S43" s="64">
        <f>IF($B43="","",IFERROR(VLOOKUP($M43,'Konstanten'!$H$6:$I$13,2,FALSE),29))</f>
        <v/>
      </c>
      <c r="T43" s="65">
        <f>IF(OR($B43="",$Q43=""),"",$Q43*$H43)</f>
        <v/>
      </c>
      <c r="U43" s="66">
        <f>IF(OR($B43="",$T43=""),"",$T43-$F43)</f>
        <v/>
      </c>
      <c r="V43" s="67">
        <f>IF(OR($B43="",$T43=""),"",IFERROR($T43/$F43,""))</f>
        <v/>
      </c>
      <c r="W43" s="65">
        <f>IF(OR($B43="",$H43=""),"",'Grundeinstellungen'!$J$13*$H43)</f>
        <v/>
      </c>
      <c r="X43" s="65">
        <f>IF(OR($B43="",$T43=""),"",MIN($T43,$F43)+$W43)</f>
        <v/>
      </c>
      <c r="Y43" s="68">
        <f>IF($B43="","",IFERROR($H43/($J43/1000),""))</f>
        <v/>
      </c>
      <c r="Z43" s="68">
        <f>IF($B43="","",IFERROR(2*$L43*$K43,""))</f>
        <v/>
      </c>
      <c r="AA43" s="68">
        <f>IF(OR($B43="",$Y43="",$Z43=""),"",$Y43+$Z43)</f>
        <v/>
      </c>
      <c r="AB43" s="68">
        <f>IF(OR($B43="",$AA43=""),"",IFERROR($AA43/$K43,""))</f>
        <v/>
      </c>
      <c r="AC43" s="69">
        <f>IF(OR($B43="",$X43=""),"",IFERROR(($X43/$K43)/('Grundeinstellungen'!$C$16*('Grundeinstellungen'!$C$6-'Grundeinstellungen'!$C$7))*3600,""))</f>
        <v/>
      </c>
      <c r="AD43" s="70">
        <f>IF(OR($B43="",$AC43=""),"",$AC43/'Grundeinstellungen'!$C$15*1000)</f>
        <v/>
      </c>
      <c r="AE43" s="71">
        <f>IF(OR($B43="",$AC43=""),"",IFERROR($AC43/3600/'Grundeinstellungen'!$C$15/'Grundeinstellungen'!$J$22,""))</f>
        <v/>
      </c>
      <c r="AF43" s="72">
        <f>IF(OR($B43="",$AE43=""),"",IFERROR($AE43*'Grundeinstellungen'!$J$21/'Grundeinstellungen'!$C$17,""))</f>
        <v/>
      </c>
      <c r="AG43" s="73">
        <f>IF(OR($B43="",$AF43=""),"",IF($AF43&lt;2300,"laminar",IF($AF43&lt;4000,"Übergangsbereich","turbulent")))</f>
        <v/>
      </c>
      <c r="AH43" s="74">
        <f>IF(OR($B43="",$AF43=""),"",IF($AF43&lt;2300,64/$AF43,0.316/$AF43^0.25))</f>
        <v/>
      </c>
      <c r="AI43" s="75">
        <f>IF(OR($B43="",$AH43="",$AB43=""),"",IFERROR($AH43*($AB43/'Grundeinstellungen'!$J$21)*('Grundeinstellungen'!$C$15/2)*$AE43^2,""))</f>
        <v/>
      </c>
      <c r="AJ43" s="76">
        <f>IF(OR($B43="",$AI43="",$AB43=""),"",IFERROR($AI43/$AB43,""))</f>
        <v/>
      </c>
      <c r="AK43" s="75">
        <f>IF(OR($B43="",$AI43=""),"",$AI43*(1+'Grundeinstellungen'!$C$24)+'Grundeinstellungen'!$C$25)</f>
        <v/>
      </c>
    </row>
    <row r="44">
      <c r="A44" s="51" t="n"/>
      <c r="B44" s="51" t="n"/>
      <c r="C44" s="51" t="n"/>
      <c r="D44" s="52" t="n"/>
      <c r="E44" s="53" t="n"/>
      <c r="F44" s="54" t="n"/>
      <c r="G44" s="55">
        <f>IF($B44="","",IFERROR($F44/$D44,""))</f>
        <v/>
      </c>
      <c r="H44" s="52" t="n"/>
      <c r="I44" s="56" t="n"/>
      <c r="J44" s="57" t="n"/>
      <c r="K44" s="58" t="n"/>
      <c r="L44" s="59" t="n"/>
      <c r="M44" s="60" t="n"/>
      <c r="N44" s="61">
        <f>IF($B44="","",IFERROR(('Grundeinstellungen'!$C$6-'Grundeinstellungen'!$C$7)/LN(('Grundeinstellungen'!$C$6-$E44)/('Grundeinstellungen'!$C$7-$E44)),""))</f>
        <v/>
      </c>
      <c r="O44" s="62">
        <f>IF($B44="","",IFERROR(IFERROR(INDEX('Konstanten'!$B$6:$B$10,MATCH($I44,'Konstanten'!$A$6:$A$10,1))+($I44-INDEX('Konstanten'!$A$6:$A$10,MATCH($I44,'Konstanten'!$A$6:$A$10,1)))/(INDEX('Konstanten'!$A$6:$A$10,MATCH($I44,'Konstanten'!$A$6:$A$10,1)+1)-INDEX('Konstanten'!$A$6:$A$10,MATCH($I44,'Konstanten'!$A$6:$A$10,1)))*(INDEX('Konstanten'!$B$6:$B$10,MATCH($I44,'Konstanten'!$A$6:$A$10,1)+1)-INDEX('Konstanten'!$B$6:$B$10,MATCH($I44,'Konstanten'!$A$6:$A$10,1))),INDEX('Konstanten'!$B$6:$B$10,MATCH($I44,'Konstanten'!$A$6:$A$10,1))),""))</f>
        <v/>
      </c>
      <c r="P44" s="62">
        <f>IF($B44="","",IFERROR(IFERROR(INDEX('Konstanten'!$C$6:$C$10,MATCH($I44,'Konstanten'!$A$6:$A$10,1))+($I44-INDEX('Konstanten'!$A$6:$A$10,MATCH($I44,'Konstanten'!$A$6:$A$10,1)))/(INDEX('Konstanten'!$A$6:$A$10,MATCH($I44,'Konstanten'!$A$6:$A$10,1)+1)-INDEX('Konstanten'!$A$6:$A$10,MATCH($I44,'Konstanten'!$A$6:$A$10,1)))*(INDEX('Konstanten'!$C$6:$C$10,MATCH($I44,'Konstanten'!$A$6:$A$10,1)+1)-INDEX('Konstanten'!$C$6:$C$10,MATCH($I44,'Konstanten'!$A$6:$A$10,1))),INDEX('Konstanten'!$C$6:$C$10,MATCH($I44,'Konstanten'!$A$6:$A$10,1))),""))</f>
        <v/>
      </c>
      <c r="Q44" s="63">
        <f>IF(OR($B44="",$N44="",$O44="",$P44=""),"",'Konstanten'!$C$13*$O44*$P44^(1-($J44/1000)/0.075)*'Konstanten'!$C$14^'Konstanten'!$C$16*'Konstanten'!$C$15^'Konstanten'!$C$17*$N44)</f>
        <v/>
      </c>
      <c r="R44" s="64">
        <f>IF(OR($B44="",$Q44=""),"",$E44+$Q44/'Grundeinstellungen'!$J$6)</f>
        <v/>
      </c>
      <c r="S44" s="64">
        <f>IF($B44="","",IFERROR(VLOOKUP($M44,'Konstanten'!$H$6:$I$13,2,FALSE),29))</f>
        <v/>
      </c>
      <c r="T44" s="65">
        <f>IF(OR($B44="",$Q44=""),"",$Q44*$H44)</f>
        <v/>
      </c>
      <c r="U44" s="66">
        <f>IF(OR($B44="",$T44=""),"",$T44-$F44)</f>
        <v/>
      </c>
      <c r="V44" s="67">
        <f>IF(OR($B44="",$T44=""),"",IFERROR($T44/$F44,""))</f>
        <v/>
      </c>
      <c r="W44" s="65">
        <f>IF(OR($B44="",$H44=""),"",'Grundeinstellungen'!$J$13*$H44)</f>
        <v/>
      </c>
      <c r="X44" s="65">
        <f>IF(OR($B44="",$T44=""),"",MIN($T44,$F44)+$W44)</f>
        <v/>
      </c>
      <c r="Y44" s="68">
        <f>IF($B44="","",IFERROR($H44/($J44/1000),""))</f>
        <v/>
      </c>
      <c r="Z44" s="68">
        <f>IF($B44="","",IFERROR(2*$L44*$K44,""))</f>
        <v/>
      </c>
      <c r="AA44" s="68">
        <f>IF(OR($B44="",$Y44="",$Z44=""),"",$Y44+$Z44)</f>
        <v/>
      </c>
      <c r="AB44" s="68">
        <f>IF(OR($B44="",$AA44=""),"",IFERROR($AA44/$K44,""))</f>
        <v/>
      </c>
      <c r="AC44" s="69">
        <f>IF(OR($B44="",$X44=""),"",IFERROR(($X44/$K44)/('Grundeinstellungen'!$C$16*('Grundeinstellungen'!$C$6-'Grundeinstellungen'!$C$7))*3600,""))</f>
        <v/>
      </c>
      <c r="AD44" s="70">
        <f>IF(OR($B44="",$AC44=""),"",$AC44/'Grundeinstellungen'!$C$15*1000)</f>
        <v/>
      </c>
      <c r="AE44" s="71">
        <f>IF(OR($B44="",$AC44=""),"",IFERROR($AC44/3600/'Grundeinstellungen'!$C$15/'Grundeinstellungen'!$J$22,""))</f>
        <v/>
      </c>
      <c r="AF44" s="72">
        <f>IF(OR($B44="",$AE44=""),"",IFERROR($AE44*'Grundeinstellungen'!$J$21/'Grundeinstellungen'!$C$17,""))</f>
        <v/>
      </c>
      <c r="AG44" s="73">
        <f>IF(OR($B44="",$AF44=""),"",IF($AF44&lt;2300,"laminar",IF($AF44&lt;4000,"Übergangsbereich","turbulent")))</f>
        <v/>
      </c>
      <c r="AH44" s="74">
        <f>IF(OR($B44="",$AF44=""),"",IF($AF44&lt;2300,64/$AF44,0.316/$AF44^0.25))</f>
        <v/>
      </c>
      <c r="AI44" s="75">
        <f>IF(OR($B44="",$AH44="",$AB44=""),"",IFERROR($AH44*($AB44/'Grundeinstellungen'!$J$21)*('Grundeinstellungen'!$C$15/2)*$AE44^2,""))</f>
        <v/>
      </c>
      <c r="AJ44" s="76">
        <f>IF(OR($B44="",$AI44="",$AB44=""),"",IFERROR($AI44/$AB44,""))</f>
        <v/>
      </c>
      <c r="AK44" s="75">
        <f>IF(OR($B44="",$AI44=""),"",$AI44*(1+'Grundeinstellungen'!$C$24)+'Grundeinstellungen'!$C$25)</f>
        <v/>
      </c>
    </row>
    <row r="45">
      <c r="A45" s="51" t="n"/>
      <c r="B45" s="51" t="n"/>
      <c r="C45" s="51" t="n"/>
      <c r="D45" s="52" t="n"/>
      <c r="E45" s="53" t="n"/>
      <c r="F45" s="54" t="n"/>
      <c r="G45" s="55">
        <f>IF($B45="","",IFERROR($F45/$D45,""))</f>
        <v/>
      </c>
      <c r="H45" s="52" t="n"/>
      <c r="I45" s="56" t="n"/>
      <c r="J45" s="57" t="n"/>
      <c r="K45" s="58" t="n"/>
      <c r="L45" s="59" t="n"/>
      <c r="M45" s="60" t="n"/>
      <c r="N45" s="61">
        <f>IF($B45="","",IFERROR(('Grundeinstellungen'!$C$6-'Grundeinstellungen'!$C$7)/LN(('Grundeinstellungen'!$C$6-$E45)/('Grundeinstellungen'!$C$7-$E45)),""))</f>
        <v/>
      </c>
      <c r="O45" s="62">
        <f>IF($B45="","",IFERROR(IFERROR(INDEX('Konstanten'!$B$6:$B$10,MATCH($I45,'Konstanten'!$A$6:$A$10,1))+($I45-INDEX('Konstanten'!$A$6:$A$10,MATCH($I45,'Konstanten'!$A$6:$A$10,1)))/(INDEX('Konstanten'!$A$6:$A$10,MATCH($I45,'Konstanten'!$A$6:$A$10,1)+1)-INDEX('Konstanten'!$A$6:$A$10,MATCH($I45,'Konstanten'!$A$6:$A$10,1)))*(INDEX('Konstanten'!$B$6:$B$10,MATCH($I45,'Konstanten'!$A$6:$A$10,1)+1)-INDEX('Konstanten'!$B$6:$B$10,MATCH($I45,'Konstanten'!$A$6:$A$10,1))),INDEX('Konstanten'!$B$6:$B$10,MATCH($I45,'Konstanten'!$A$6:$A$10,1))),""))</f>
        <v/>
      </c>
      <c r="P45" s="62">
        <f>IF($B45="","",IFERROR(IFERROR(INDEX('Konstanten'!$C$6:$C$10,MATCH($I45,'Konstanten'!$A$6:$A$10,1))+($I45-INDEX('Konstanten'!$A$6:$A$10,MATCH($I45,'Konstanten'!$A$6:$A$10,1)))/(INDEX('Konstanten'!$A$6:$A$10,MATCH($I45,'Konstanten'!$A$6:$A$10,1)+1)-INDEX('Konstanten'!$A$6:$A$10,MATCH($I45,'Konstanten'!$A$6:$A$10,1)))*(INDEX('Konstanten'!$C$6:$C$10,MATCH($I45,'Konstanten'!$A$6:$A$10,1)+1)-INDEX('Konstanten'!$C$6:$C$10,MATCH($I45,'Konstanten'!$A$6:$A$10,1))),INDEX('Konstanten'!$C$6:$C$10,MATCH($I45,'Konstanten'!$A$6:$A$10,1))),""))</f>
        <v/>
      </c>
      <c r="Q45" s="63">
        <f>IF(OR($B45="",$N45="",$O45="",$P45=""),"",'Konstanten'!$C$13*$O45*$P45^(1-($J45/1000)/0.075)*'Konstanten'!$C$14^'Konstanten'!$C$16*'Konstanten'!$C$15^'Konstanten'!$C$17*$N45)</f>
        <v/>
      </c>
      <c r="R45" s="64">
        <f>IF(OR($B45="",$Q45=""),"",$E45+$Q45/'Grundeinstellungen'!$J$6)</f>
        <v/>
      </c>
      <c r="S45" s="64">
        <f>IF($B45="","",IFERROR(VLOOKUP($M45,'Konstanten'!$H$6:$I$13,2,FALSE),29))</f>
        <v/>
      </c>
      <c r="T45" s="65">
        <f>IF(OR($B45="",$Q45=""),"",$Q45*$H45)</f>
        <v/>
      </c>
      <c r="U45" s="66">
        <f>IF(OR($B45="",$T45=""),"",$T45-$F45)</f>
        <v/>
      </c>
      <c r="V45" s="67">
        <f>IF(OR($B45="",$T45=""),"",IFERROR($T45/$F45,""))</f>
        <v/>
      </c>
      <c r="W45" s="65">
        <f>IF(OR($B45="",$H45=""),"",'Grundeinstellungen'!$J$13*$H45)</f>
        <v/>
      </c>
      <c r="X45" s="65">
        <f>IF(OR($B45="",$T45=""),"",MIN($T45,$F45)+$W45)</f>
        <v/>
      </c>
      <c r="Y45" s="68">
        <f>IF($B45="","",IFERROR($H45/($J45/1000),""))</f>
        <v/>
      </c>
      <c r="Z45" s="68">
        <f>IF($B45="","",IFERROR(2*$L45*$K45,""))</f>
        <v/>
      </c>
      <c r="AA45" s="68">
        <f>IF(OR($B45="",$Y45="",$Z45=""),"",$Y45+$Z45)</f>
        <v/>
      </c>
      <c r="AB45" s="68">
        <f>IF(OR($B45="",$AA45=""),"",IFERROR($AA45/$K45,""))</f>
        <v/>
      </c>
      <c r="AC45" s="69">
        <f>IF(OR($B45="",$X45=""),"",IFERROR(($X45/$K45)/('Grundeinstellungen'!$C$16*('Grundeinstellungen'!$C$6-'Grundeinstellungen'!$C$7))*3600,""))</f>
        <v/>
      </c>
      <c r="AD45" s="70">
        <f>IF(OR($B45="",$AC45=""),"",$AC45/'Grundeinstellungen'!$C$15*1000)</f>
        <v/>
      </c>
      <c r="AE45" s="71">
        <f>IF(OR($B45="",$AC45=""),"",IFERROR($AC45/3600/'Grundeinstellungen'!$C$15/'Grundeinstellungen'!$J$22,""))</f>
        <v/>
      </c>
      <c r="AF45" s="72">
        <f>IF(OR($B45="",$AE45=""),"",IFERROR($AE45*'Grundeinstellungen'!$J$21/'Grundeinstellungen'!$C$17,""))</f>
        <v/>
      </c>
      <c r="AG45" s="73">
        <f>IF(OR($B45="",$AF45=""),"",IF($AF45&lt;2300,"laminar",IF($AF45&lt;4000,"Übergangsbereich","turbulent")))</f>
        <v/>
      </c>
      <c r="AH45" s="74">
        <f>IF(OR($B45="",$AF45=""),"",IF($AF45&lt;2300,64/$AF45,0.316/$AF45^0.25))</f>
        <v/>
      </c>
      <c r="AI45" s="75">
        <f>IF(OR($B45="",$AH45="",$AB45=""),"",IFERROR($AH45*($AB45/'Grundeinstellungen'!$J$21)*('Grundeinstellungen'!$C$15/2)*$AE45^2,""))</f>
        <v/>
      </c>
      <c r="AJ45" s="76">
        <f>IF(OR($B45="",$AI45="",$AB45=""),"",IFERROR($AI45/$AB45,""))</f>
        <v/>
      </c>
      <c r="AK45" s="75">
        <f>IF(OR($B45="",$AI45=""),"",$AI45*(1+'Grundeinstellungen'!$C$24)+'Grundeinstellungen'!$C$25)</f>
        <v/>
      </c>
    </row>
    <row r="46">
      <c r="A46" s="51" t="n"/>
      <c r="B46" s="51" t="n"/>
      <c r="C46" s="51" t="n"/>
      <c r="D46" s="52" t="n"/>
      <c r="E46" s="53" t="n"/>
      <c r="F46" s="54" t="n"/>
      <c r="G46" s="55">
        <f>IF($B46="","",IFERROR($F46/$D46,""))</f>
        <v/>
      </c>
      <c r="H46" s="52" t="n"/>
      <c r="I46" s="56" t="n"/>
      <c r="J46" s="57" t="n"/>
      <c r="K46" s="58" t="n"/>
      <c r="L46" s="59" t="n"/>
      <c r="M46" s="60" t="n"/>
      <c r="N46" s="61">
        <f>IF($B46="","",IFERROR(('Grundeinstellungen'!$C$6-'Grundeinstellungen'!$C$7)/LN(('Grundeinstellungen'!$C$6-$E46)/('Grundeinstellungen'!$C$7-$E46)),""))</f>
        <v/>
      </c>
      <c r="O46" s="62">
        <f>IF($B46="","",IFERROR(IFERROR(INDEX('Konstanten'!$B$6:$B$10,MATCH($I46,'Konstanten'!$A$6:$A$10,1))+($I46-INDEX('Konstanten'!$A$6:$A$10,MATCH($I46,'Konstanten'!$A$6:$A$10,1)))/(INDEX('Konstanten'!$A$6:$A$10,MATCH($I46,'Konstanten'!$A$6:$A$10,1)+1)-INDEX('Konstanten'!$A$6:$A$10,MATCH($I46,'Konstanten'!$A$6:$A$10,1)))*(INDEX('Konstanten'!$B$6:$B$10,MATCH($I46,'Konstanten'!$A$6:$A$10,1)+1)-INDEX('Konstanten'!$B$6:$B$10,MATCH($I46,'Konstanten'!$A$6:$A$10,1))),INDEX('Konstanten'!$B$6:$B$10,MATCH($I46,'Konstanten'!$A$6:$A$10,1))),""))</f>
        <v/>
      </c>
      <c r="P46" s="62">
        <f>IF($B46="","",IFERROR(IFERROR(INDEX('Konstanten'!$C$6:$C$10,MATCH($I46,'Konstanten'!$A$6:$A$10,1))+($I46-INDEX('Konstanten'!$A$6:$A$10,MATCH($I46,'Konstanten'!$A$6:$A$10,1)))/(INDEX('Konstanten'!$A$6:$A$10,MATCH($I46,'Konstanten'!$A$6:$A$10,1)+1)-INDEX('Konstanten'!$A$6:$A$10,MATCH($I46,'Konstanten'!$A$6:$A$10,1)))*(INDEX('Konstanten'!$C$6:$C$10,MATCH($I46,'Konstanten'!$A$6:$A$10,1)+1)-INDEX('Konstanten'!$C$6:$C$10,MATCH($I46,'Konstanten'!$A$6:$A$10,1))),INDEX('Konstanten'!$C$6:$C$10,MATCH($I46,'Konstanten'!$A$6:$A$10,1))),""))</f>
        <v/>
      </c>
      <c r="Q46" s="63">
        <f>IF(OR($B46="",$N46="",$O46="",$P46=""),"",'Konstanten'!$C$13*$O46*$P46^(1-($J46/1000)/0.075)*'Konstanten'!$C$14^'Konstanten'!$C$16*'Konstanten'!$C$15^'Konstanten'!$C$17*$N46)</f>
        <v/>
      </c>
      <c r="R46" s="64">
        <f>IF(OR($B46="",$Q46=""),"",$E46+$Q46/'Grundeinstellungen'!$J$6)</f>
        <v/>
      </c>
      <c r="S46" s="64">
        <f>IF($B46="","",IFERROR(VLOOKUP($M46,'Konstanten'!$H$6:$I$13,2,FALSE),29))</f>
        <v/>
      </c>
      <c r="T46" s="65">
        <f>IF(OR($B46="",$Q46=""),"",$Q46*$H46)</f>
        <v/>
      </c>
      <c r="U46" s="66">
        <f>IF(OR($B46="",$T46=""),"",$T46-$F46)</f>
        <v/>
      </c>
      <c r="V46" s="67">
        <f>IF(OR($B46="",$T46=""),"",IFERROR($T46/$F46,""))</f>
        <v/>
      </c>
      <c r="W46" s="65">
        <f>IF(OR($B46="",$H46=""),"",'Grundeinstellungen'!$J$13*$H46)</f>
        <v/>
      </c>
      <c r="X46" s="65">
        <f>IF(OR($B46="",$T46=""),"",MIN($T46,$F46)+$W46)</f>
        <v/>
      </c>
      <c r="Y46" s="68">
        <f>IF($B46="","",IFERROR($H46/($J46/1000),""))</f>
        <v/>
      </c>
      <c r="Z46" s="68">
        <f>IF($B46="","",IFERROR(2*$L46*$K46,""))</f>
        <v/>
      </c>
      <c r="AA46" s="68">
        <f>IF(OR($B46="",$Y46="",$Z46=""),"",$Y46+$Z46)</f>
        <v/>
      </c>
      <c r="AB46" s="68">
        <f>IF(OR($B46="",$AA46=""),"",IFERROR($AA46/$K46,""))</f>
        <v/>
      </c>
      <c r="AC46" s="69">
        <f>IF(OR($B46="",$X46=""),"",IFERROR(($X46/$K46)/('Grundeinstellungen'!$C$16*('Grundeinstellungen'!$C$6-'Grundeinstellungen'!$C$7))*3600,""))</f>
        <v/>
      </c>
      <c r="AD46" s="70">
        <f>IF(OR($B46="",$AC46=""),"",$AC46/'Grundeinstellungen'!$C$15*1000)</f>
        <v/>
      </c>
      <c r="AE46" s="71">
        <f>IF(OR($B46="",$AC46=""),"",IFERROR($AC46/3600/'Grundeinstellungen'!$C$15/'Grundeinstellungen'!$J$22,""))</f>
        <v/>
      </c>
      <c r="AF46" s="72">
        <f>IF(OR($B46="",$AE46=""),"",IFERROR($AE46*'Grundeinstellungen'!$J$21/'Grundeinstellungen'!$C$17,""))</f>
        <v/>
      </c>
      <c r="AG46" s="73">
        <f>IF(OR($B46="",$AF46=""),"",IF($AF46&lt;2300,"laminar",IF($AF46&lt;4000,"Übergangsbereich","turbulent")))</f>
        <v/>
      </c>
      <c r="AH46" s="74">
        <f>IF(OR($B46="",$AF46=""),"",IF($AF46&lt;2300,64/$AF46,0.316/$AF46^0.25))</f>
        <v/>
      </c>
      <c r="AI46" s="75">
        <f>IF(OR($B46="",$AH46="",$AB46=""),"",IFERROR($AH46*($AB46/'Grundeinstellungen'!$J$21)*('Grundeinstellungen'!$C$15/2)*$AE46^2,""))</f>
        <v/>
      </c>
      <c r="AJ46" s="76">
        <f>IF(OR($B46="",$AI46="",$AB46=""),"",IFERROR($AI46/$AB46,""))</f>
        <v/>
      </c>
      <c r="AK46" s="75">
        <f>IF(OR($B46="",$AI46=""),"",$AI46*(1+'Grundeinstellungen'!$C$24)+'Grundeinstellungen'!$C$25)</f>
        <v/>
      </c>
    </row>
    <row r="47">
      <c r="A47" s="51" t="n"/>
      <c r="B47" s="51" t="n"/>
      <c r="C47" s="51" t="n"/>
      <c r="D47" s="52" t="n"/>
      <c r="E47" s="53" t="n"/>
      <c r="F47" s="54" t="n"/>
      <c r="G47" s="55">
        <f>IF($B47="","",IFERROR($F47/$D47,""))</f>
        <v/>
      </c>
      <c r="H47" s="52" t="n"/>
      <c r="I47" s="56" t="n"/>
      <c r="J47" s="57" t="n"/>
      <c r="K47" s="58" t="n"/>
      <c r="L47" s="59" t="n"/>
      <c r="M47" s="60" t="n"/>
      <c r="N47" s="61">
        <f>IF($B47="","",IFERROR(('Grundeinstellungen'!$C$6-'Grundeinstellungen'!$C$7)/LN(('Grundeinstellungen'!$C$6-$E47)/('Grundeinstellungen'!$C$7-$E47)),""))</f>
        <v/>
      </c>
      <c r="O47" s="62">
        <f>IF($B47="","",IFERROR(IFERROR(INDEX('Konstanten'!$B$6:$B$10,MATCH($I47,'Konstanten'!$A$6:$A$10,1))+($I47-INDEX('Konstanten'!$A$6:$A$10,MATCH($I47,'Konstanten'!$A$6:$A$10,1)))/(INDEX('Konstanten'!$A$6:$A$10,MATCH($I47,'Konstanten'!$A$6:$A$10,1)+1)-INDEX('Konstanten'!$A$6:$A$10,MATCH($I47,'Konstanten'!$A$6:$A$10,1)))*(INDEX('Konstanten'!$B$6:$B$10,MATCH($I47,'Konstanten'!$A$6:$A$10,1)+1)-INDEX('Konstanten'!$B$6:$B$10,MATCH($I47,'Konstanten'!$A$6:$A$10,1))),INDEX('Konstanten'!$B$6:$B$10,MATCH($I47,'Konstanten'!$A$6:$A$10,1))),""))</f>
        <v/>
      </c>
      <c r="P47" s="62">
        <f>IF($B47="","",IFERROR(IFERROR(INDEX('Konstanten'!$C$6:$C$10,MATCH($I47,'Konstanten'!$A$6:$A$10,1))+($I47-INDEX('Konstanten'!$A$6:$A$10,MATCH($I47,'Konstanten'!$A$6:$A$10,1)))/(INDEX('Konstanten'!$A$6:$A$10,MATCH($I47,'Konstanten'!$A$6:$A$10,1)+1)-INDEX('Konstanten'!$A$6:$A$10,MATCH($I47,'Konstanten'!$A$6:$A$10,1)))*(INDEX('Konstanten'!$C$6:$C$10,MATCH($I47,'Konstanten'!$A$6:$A$10,1)+1)-INDEX('Konstanten'!$C$6:$C$10,MATCH($I47,'Konstanten'!$A$6:$A$10,1))),INDEX('Konstanten'!$C$6:$C$10,MATCH($I47,'Konstanten'!$A$6:$A$10,1))),""))</f>
        <v/>
      </c>
      <c r="Q47" s="63">
        <f>IF(OR($B47="",$N47="",$O47="",$P47=""),"",'Konstanten'!$C$13*$O47*$P47^(1-($J47/1000)/0.075)*'Konstanten'!$C$14^'Konstanten'!$C$16*'Konstanten'!$C$15^'Konstanten'!$C$17*$N47)</f>
        <v/>
      </c>
      <c r="R47" s="64">
        <f>IF(OR($B47="",$Q47=""),"",$E47+$Q47/'Grundeinstellungen'!$J$6)</f>
        <v/>
      </c>
      <c r="S47" s="64">
        <f>IF($B47="","",IFERROR(VLOOKUP($M47,'Konstanten'!$H$6:$I$13,2,FALSE),29))</f>
        <v/>
      </c>
      <c r="T47" s="65">
        <f>IF(OR($B47="",$Q47=""),"",$Q47*$H47)</f>
        <v/>
      </c>
      <c r="U47" s="66">
        <f>IF(OR($B47="",$T47=""),"",$T47-$F47)</f>
        <v/>
      </c>
      <c r="V47" s="67">
        <f>IF(OR($B47="",$T47=""),"",IFERROR($T47/$F47,""))</f>
        <v/>
      </c>
      <c r="W47" s="65">
        <f>IF(OR($B47="",$H47=""),"",'Grundeinstellungen'!$J$13*$H47)</f>
        <v/>
      </c>
      <c r="X47" s="65">
        <f>IF(OR($B47="",$T47=""),"",MIN($T47,$F47)+$W47)</f>
        <v/>
      </c>
      <c r="Y47" s="68">
        <f>IF($B47="","",IFERROR($H47/($J47/1000),""))</f>
        <v/>
      </c>
      <c r="Z47" s="68">
        <f>IF($B47="","",IFERROR(2*$L47*$K47,""))</f>
        <v/>
      </c>
      <c r="AA47" s="68">
        <f>IF(OR($B47="",$Y47="",$Z47=""),"",$Y47+$Z47)</f>
        <v/>
      </c>
      <c r="AB47" s="68">
        <f>IF(OR($B47="",$AA47=""),"",IFERROR($AA47/$K47,""))</f>
        <v/>
      </c>
      <c r="AC47" s="69">
        <f>IF(OR($B47="",$X47=""),"",IFERROR(($X47/$K47)/('Grundeinstellungen'!$C$16*('Grundeinstellungen'!$C$6-'Grundeinstellungen'!$C$7))*3600,""))</f>
        <v/>
      </c>
      <c r="AD47" s="70">
        <f>IF(OR($B47="",$AC47=""),"",$AC47/'Grundeinstellungen'!$C$15*1000)</f>
        <v/>
      </c>
      <c r="AE47" s="71">
        <f>IF(OR($B47="",$AC47=""),"",IFERROR($AC47/3600/'Grundeinstellungen'!$C$15/'Grundeinstellungen'!$J$22,""))</f>
        <v/>
      </c>
      <c r="AF47" s="72">
        <f>IF(OR($B47="",$AE47=""),"",IFERROR($AE47*'Grundeinstellungen'!$J$21/'Grundeinstellungen'!$C$17,""))</f>
        <v/>
      </c>
      <c r="AG47" s="73">
        <f>IF(OR($B47="",$AF47=""),"",IF($AF47&lt;2300,"laminar",IF($AF47&lt;4000,"Übergangsbereich","turbulent")))</f>
        <v/>
      </c>
      <c r="AH47" s="74">
        <f>IF(OR($B47="",$AF47=""),"",IF($AF47&lt;2300,64/$AF47,0.316/$AF47^0.25))</f>
        <v/>
      </c>
      <c r="AI47" s="75">
        <f>IF(OR($B47="",$AH47="",$AB47=""),"",IFERROR($AH47*($AB47/'Grundeinstellungen'!$J$21)*('Grundeinstellungen'!$C$15/2)*$AE47^2,""))</f>
        <v/>
      </c>
      <c r="AJ47" s="76">
        <f>IF(OR($B47="",$AI47="",$AB47=""),"",IFERROR($AI47/$AB47,""))</f>
        <v/>
      </c>
      <c r="AK47" s="75">
        <f>IF(OR($B47="",$AI47=""),"",$AI47*(1+'Grundeinstellungen'!$C$24)+'Grundeinstellungen'!$C$25)</f>
        <v/>
      </c>
    </row>
    <row r="48">
      <c r="A48" s="51" t="n"/>
      <c r="B48" s="51" t="n"/>
      <c r="C48" s="51" t="n"/>
      <c r="D48" s="52" t="n"/>
      <c r="E48" s="53" t="n"/>
      <c r="F48" s="54" t="n"/>
      <c r="G48" s="55">
        <f>IF($B48="","",IFERROR($F48/$D48,""))</f>
        <v/>
      </c>
      <c r="H48" s="52" t="n"/>
      <c r="I48" s="56" t="n"/>
      <c r="J48" s="57" t="n"/>
      <c r="K48" s="58" t="n"/>
      <c r="L48" s="59" t="n"/>
      <c r="M48" s="60" t="n"/>
      <c r="N48" s="61">
        <f>IF($B48="","",IFERROR(('Grundeinstellungen'!$C$6-'Grundeinstellungen'!$C$7)/LN(('Grundeinstellungen'!$C$6-$E48)/('Grundeinstellungen'!$C$7-$E48)),""))</f>
        <v/>
      </c>
      <c r="O48" s="62">
        <f>IF($B48="","",IFERROR(IFERROR(INDEX('Konstanten'!$B$6:$B$10,MATCH($I48,'Konstanten'!$A$6:$A$10,1))+($I48-INDEX('Konstanten'!$A$6:$A$10,MATCH($I48,'Konstanten'!$A$6:$A$10,1)))/(INDEX('Konstanten'!$A$6:$A$10,MATCH($I48,'Konstanten'!$A$6:$A$10,1)+1)-INDEX('Konstanten'!$A$6:$A$10,MATCH($I48,'Konstanten'!$A$6:$A$10,1)))*(INDEX('Konstanten'!$B$6:$B$10,MATCH($I48,'Konstanten'!$A$6:$A$10,1)+1)-INDEX('Konstanten'!$B$6:$B$10,MATCH($I48,'Konstanten'!$A$6:$A$10,1))),INDEX('Konstanten'!$B$6:$B$10,MATCH($I48,'Konstanten'!$A$6:$A$10,1))),""))</f>
        <v/>
      </c>
      <c r="P48" s="62">
        <f>IF($B48="","",IFERROR(IFERROR(INDEX('Konstanten'!$C$6:$C$10,MATCH($I48,'Konstanten'!$A$6:$A$10,1))+($I48-INDEX('Konstanten'!$A$6:$A$10,MATCH($I48,'Konstanten'!$A$6:$A$10,1)))/(INDEX('Konstanten'!$A$6:$A$10,MATCH($I48,'Konstanten'!$A$6:$A$10,1)+1)-INDEX('Konstanten'!$A$6:$A$10,MATCH($I48,'Konstanten'!$A$6:$A$10,1)))*(INDEX('Konstanten'!$C$6:$C$10,MATCH($I48,'Konstanten'!$A$6:$A$10,1)+1)-INDEX('Konstanten'!$C$6:$C$10,MATCH($I48,'Konstanten'!$A$6:$A$10,1))),INDEX('Konstanten'!$C$6:$C$10,MATCH($I48,'Konstanten'!$A$6:$A$10,1))),""))</f>
        <v/>
      </c>
      <c r="Q48" s="63">
        <f>IF(OR($B48="",$N48="",$O48="",$P48=""),"",'Konstanten'!$C$13*$O48*$P48^(1-($J48/1000)/0.075)*'Konstanten'!$C$14^'Konstanten'!$C$16*'Konstanten'!$C$15^'Konstanten'!$C$17*$N48)</f>
        <v/>
      </c>
      <c r="R48" s="64">
        <f>IF(OR($B48="",$Q48=""),"",$E48+$Q48/'Grundeinstellungen'!$J$6)</f>
        <v/>
      </c>
      <c r="S48" s="64">
        <f>IF($B48="","",IFERROR(VLOOKUP($M48,'Konstanten'!$H$6:$I$13,2,FALSE),29))</f>
        <v/>
      </c>
      <c r="T48" s="65">
        <f>IF(OR($B48="",$Q48=""),"",$Q48*$H48)</f>
        <v/>
      </c>
      <c r="U48" s="66">
        <f>IF(OR($B48="",$T48=""),"",$T48-$F48)</f>
        <v/>
      </c>
      <c r="V48" s="67">
        <f>IF(OR($B48="",$T48=""),"",IFERROR($T48/$F48,""))</f>
        <v/>
      </c>
      <c r="W48" s="65">
        <f>IF(OR($B48="",$H48=""),"",'Grundeinstellungen'!$J$13*$H48)</f>
        <v/>
      </c>
      <c r="X48" s="65">
        <f>IF(OR($B48="",$T48=""),"",MIN($T48,$F48)+$W48)</f>
        <v/>
      </c>
      <c r="Y48" s="68">
        <f>IF($B48="","",IFERROR($H48/($J48/1000),""))</f>
        <v/>
      </c>
      <c r="Z48" s="68">
        <f>IF($B48="","",IFERROR(2*$L48*$K48,""))</f>
        <v/>
      </c>
      <c r="AA48" s="68">
        <f>IF(OR($B48="",$Y48="",$Z48=""),"",$Y48+$Z48)</f>
        <v/>
      </c>
      <c r="AB48" s="68">
        <f>IF(OR($B48="",$AA48=""),"",IFERROR($AA48/$K48,""))</f>
        <v/>
      </c>
      <c r="AC48" s="69">
        <f>IF(OR($B48="",$X48=""),"",IFERROR(($X48/$K48)/('Grundeinstellungen'!$C$16*('Grundeinstellungen'!$C$6-'Grundeinstellungen'!$C$7))*3600,""))</f>
        <v/>
      </c>
      <c r="AD48" s="70">
        <f>IF(OR($B48="",$AC48=""),"",$AC48/'Grundeinstellungen'!$C$15*1000)</f>
        <v/>
      </c>
      <c r="AE48" s="71">
        <f>IF(OR($B48="",$AC48=""),"",IFERROR($AC48/3600/'Grundeinstellungen'!$C$15/'Grundeinstellungen'!$J$22,""))</f>
        <v/>
      </c>
      <c r="AF48" s="72">
        <f>IF(OR($B48="",$AE48=""),"",IFERROR($AE48*'Grundeinstellungen'!$J$21/'Grundeinstellungen'!$C$17,""))</f>
        <v/>
      </c>
      <c r="AG48" s="73">
        <f>IF(OR($B48="",$AF48=""),"",IF($AF48&lt;2300,"laminar",IF($AF48&lt;4000,"Übergangsbereich","turbulent")))</f>
        <v/>
      </c>
      <c r="AH48" s="74">
        <f>IF(OR($B48="",$AF48=""),"",IF($AF48&lt;2300,64/$AF48,0.316/$AF48^0.25))</f>
        <v/>
      </c>
      <c r="AI48" s="75">
        <f>IF(OR($B48="",$AH48="",$AB48=""),"",IFERROR($AH48*($AB48/'Grundeinstellungen'!$J$21)*('Grundeinstellungen'!$C$15/2)*$AE48^2,""))</f>
        <v/>
      </c>
      <c r="AJ48" s="76">
        <f>IF(OR($B48="",$AI48="",$AB48=""),"",IFERROR($AI48/$AB48,""))</f>
        <v/>
      </c>
      <c r="AK48" s="75">
        <f>IF(OR($B48="",$AI48=""),"",$AI48*(1+'Grundeinstellungen'!$C$24)+'Grundeinstellungen'!$C$25)</f>
        <v/>
      </c>
    </row>
    <row r="49">
      <c r="A49" s="51" t="n"/>
      <c r="B49" s="51" t="n"/>
      <c r="C49" s="51" t="n"/>
      <c r="D49" s="52" t="n"/>
      <c r="E49" s="53" t="n"/>
      <c r="F49" s="54" t="n"/>
      <c r="G49" s="55">
        <f>IF($B49="","",IFERROR($F49/$D49,""))</f>
        <v/>
      </c>
      <c r="H49" s="52" t="n"/>
      <c r="I49" s="56" t="n"/>
      <c r="J49" s="57" t="n"/>
      <c r="K49" s="58" t="n"/>
      <c r="L49" s="59" t="n"/>
      <c r="M49" s="60" t="n"/>
      <c r="N49" s="61">
        <f>IF($B49="","",IFERROR(('Grundeinstellungen'!$C$6-'Grundeinstellungen'!$C$7)/LN(('Grundeinstellungen'!$C$6-$E49)/('Grundeinstellungen'!$C$7-$E49)),""))</f>
        <v/>
      </c>
      <c r="O49" s="62">
        <f>IF($B49="","",IFERROR(IFERROR(INDEX('Konstanten'!$B$6:$B$10,MATCH($I49,'Konstanten'!$A$6:$A$10,1))+($I49-INDEX('Konstanten'!$A$6:$A$10,MATCH($I49,'Konstanten'!$A$6:$A$10,1)))/(INDEX('Konstanten'!$A$6:$A$10,MATCH($I49,'Konstanten'!$A$6:$A$10,1)+1)-INDEX('Konstanten'!$A$6:$A$10,MATCH($I49,'Konstanten'!$A$6:$A$10,1)))*(INDEX('Konstanten'!$B$6:$B$10,MATCH($I49,'Konstanten'!$A$6:$A$10,1)+1)-INDEX('Konstanten'!$B$6:$B$10,MATCH($I49,'Konstanten'!$A$6:$A$10,1))),INDEX('Konstanten'!$B$6:$B$10,MATCH($I49,'Konstanten'!$A$6:$A$10,1))),""))</f>
        <v/>
      </c>
      <c r="P49" s="62">
        <f>IF($B49="","",IFERROR(IFERROR(INDEX('Konstanten'!$C$6:$C$10,MATCH($I49,'Konstanten'!$A$6:$A$10,1))+($I49-INDEX('Konstanten'!$A$6:$A$10,MATCH($I49,'Konstanten'!$A$6:$A$10,1)))/(INDEX('Konstanten'!$A$6:$A$10,MATCH($I49,'Konstanten'!$A$6:$A$10,1)+1)-INDEX('Konstanten'!$A$6:$A$10,MATCH($I49,'Konstanten'!$A$6:$A$10,1)))*(INDEX('Konstanten'!$C$6:$C$10,MATCH($I49,'Konstanten'!$A$6:$A$10,1)+1)-INDEX('Konstanten'!$C$6:$C$10,MATCH($I49,'Konstanten'!$A$6:$A$10,1))),INDEX('Konstanten'!$C$6:$C$10,MATCH($I49,'Konstanten'!$A$6:$A$10,1))),""))</f>
        <v/>
      </c>
      <c r="Q49" s="63">
        <f>IF(OR($B49="",$N49="",$O49="",$P49=""),"",'Konstanten'!$C$13*$O49*$P49^(1-($J49/1000)/0.075)*'Konstanten'!$C$14^'Konstanten'!$C$16*'Konstanten'!$C$15^'Konstanten'!$C$17*$N49)</f>
        <v/>
      </c>
      <c r="R49" s="64">
        <f>IF(OR($B49="",$Q49=""),"",$E49+$Q49/'Grundeinstellungen'!$J$6)</f>
        <v/>
      </c>
      <c r="S49" s="64">
        <f>IF($B49="","",IFERROR(VLOOKUP($M49,'Konstanten'!$H$6:$I$13,2,FALSE),29))</f>
        <v/>
      </c>
      <c r="T49" s="65">
        <f>IF(OR($B49="",$Q49=""),"",$Q49*$H49)</f>
        <v/>
      </c>
      <c r="U49" s="66">
        <f>IF(OR($B49="",$T49=""),"",$T49-$F49)</f>
        <v/>
      </c>
      <c r="V49" s="67">
        <f>IF(OR($B49="",$T49=""),"",IFERROR($T49/$F49,""))</f>
        <v/>
      </c>
      <c r="W49" s="65">
        <f>IF(OR($B49="",$H49=""),"",'Grundeinstellungen'!$J$13*$H49)</f>
        <v/>
      </c>
      <c r="X49" s="65">
        <f>IF(OR($B49="",$T49=""),"",MIN($T49,$F49)+$W49)</f>
        <v/>
      </c>
      <c r="Y49" s="68">
        <f>IF($B49="","",IFERROR($H49/($J49/1000),""))</f>
        <v/>
      </c>
      <c r="Z49" s="68">
        <f>IF($B49="","",IFERROR(2*$L49*$K49,""))</f>
        <v/>
      </c>
      <c r="AA49" s="68">
        <f>IF(OR($B49="",$Y49="",$Z49=""),"",$Y49+$Z49)</f>
        <v/>
      </c>
      <c r="AB49" s="68">
        <f>IF(OR($B49="",$AA49=""),"",IFERROR($AA49/$K49,""))</f>
        <v/>
      </c>
      <c r="AC49" s="69">
        <f>IF(OR($B49="",$X49=""),"",IFERROR(($X49/$K49)/('Grundeinstellungen'!$C$16*('Grundeinstellungen'!$C$6-'Grundeinstellungen'!$C$7))*3600,""))</f>
        <v/>
      </c>
      <c r="AD49" s="70">
        <f>IF(OR($B49="",$AC49=""),"",$AC49/'Grundeinstellungen'!$C$15*1000)</f>
        <v/>
      </c>
      <c r="AE49" s="71">
        <f>IF(OR($B49="",$AC49=""),"",IFERROR($AC49/3600/'Grundeinstellungen'!$C$15/'Grundeinstellungen'!$J$22,""))</f>
        <v/>
      </c>
      <c r="AF49" s="72">
        <f>IF(OR($B49="",$AE49=""),"",IFERROR($AE49*'Grundeinstellungen'!$J$21/'Grundeinstellungen'!$C$17,""))</f>
        <v/>
      </c>
      <c r="AG49" s="73">
        <f>IF(OR($B49="",$AF49=""),"",IF($AF49&lt;2300,"laminar",IF($AF49&lt;4000,"Übergangsbereich","turbulent")))</f>
        <v/>
      </c>
      <c r="AH49" s="74">
        <f>IF(OR($B49="",$AF49=""),"",IF($AF49&lt;2300,64/$AF49,0.316/$AF49^0.25))</f>
        <v/>
      </c>
      <c r="AI49" s="75">
        <f>IF(OR($B49="",$AH49="",$AB49=""),"",IFERROR($AH49*($AB49/'Grundeinstellungen'!$J$21)*('Grundeinstellungen'!$C$15/2)*$AE49^2,""))</f>
        <v/>
      </c>
      <c r="AJ49" s="76">
        <f>IF(OR($B49="",$AI49="",$AB49=""),"",IFERROR($AI49/$AB49,""))</f>
        <v/>
      </c>
      <c r="AK49" s="75">
        <f>IF(OR($B49="",$AI49=""),"",$AI49*(1+'Grundeinstellungen'!$C$24)+'Grundeinstellungen'!$C$25)</f>
        <v/>
      </c>
    </row>
    <row r="50">
      <c r="A50" s="51" t="n"/>
      <c r="B50" s="51" t="n"/>
      <c r="C50" s="51" t="n"/>
      <c r="D50" s="52" t="n"/>
      <c r="E50" s="53" t="n"/>
      <c r="F50" s="54" t="n"/>
      <c r="G50" s="55">
        <f>IF($B50="","",IFERROR($F50/$D50,""))</f>
        <v/>
      </c>
      <c r="H50" s="52" t="n"/>
      <c r="I50" s="56" t="n"/>
      <c r="J50" s="57" t="n"/>
      <c r="K50" s="58" t="n"/>
      <c r="L50" s="59" t="n"/>
      <c r="M50" s="60" t="n"/>
      <c r="N50" s="61">
        <f>IF($B50="","",IFERROR(('Grundeinstellungen'!$C$6-'Grundeinstellungen'!$C$7)/LN(('Grundeinstellungen'!$C$6-$E50)/('Grundeinstellungen'!$C$7-$E50)),""))</f>
        <v/>
      </c>
      <c r="O50" s="62">
        <f>IF($B50="","",IFERROR(IFERROR(INDEX('Konstanten'!$B$6:$B$10,MATCH($I50,'Konstanten'!$A$6:$A$10,1))+($I50-INDEX('Konstanten'!$A$6:$A$10,MATCH($I50,'Konstanten'!$A$6:$A$10,1)))/(INDEX('Konstanten'!$A$6:$A$10,MATCH($I50,'Konstanten'!$A$6:$A$10,1)+1)-INDEX('Konstanten'!$A$6:$A$10,MATCH($I50,'Konstanten'!$A$6:$A$10,1)))*(INDEX('Konstanten'!$B$6:$B$10,MATCH($I50,'Konstanten'!$A$6:$A$10,1)+1)-INDEX('Konstanten'!$B$6:$B$10,MATCH($I50,'Konstanten'!$A$6:$A$10,1))),INDEX('Konstanten'!$B$6:$B$10,MATCH($I50,'Konstanten'!$A$6:$A$10,1))),""))</f>
        <v/>
      </c>
      <c r="P50" s="62">
        <f>IF($B50="","",IFERROR(IFERROR(INDEX('Konstanten'!$C$6:$C$10,MATCH($I50,'Konstanten'!$A$6:$A$10,1))+($I50-INDEX('Konstanten'!$A$6:$A$10,MATCH($I50,'Konstanten'!$A$6:$A$10,1)))/(INDEX('Konstanten'!$A$6:$A$10,MATCH($I50,'Konstanten'!$A$6:$A$10,1)+1)-INDEX('Konstanten'!$A$6:$A$10,MATCH($I50,'Konstanten'!$A$6:$A$10,1)))*(INDEX('Konstanten'!$C$6:$C$10,MATCH($I50,'Konstanten'!$A$6:$A$10,1)+1)-INDEX('Konstanten'!$C$6:$C$10,MATCH($I50,'Konstanten'!$A$6:$A$10,1))),INDEX('Konstanten'!$C$6:$C$10,MATCH($I50,'Konstanten'!$A$6:$A$10,1))),""))</f>
        <v/>
      </c>
      <c r="Q50" s="63">
        <f>IF(OR($B50="",$N50="",$O50="",$P50=""),"",'Konstanten'!$C$13*$O50*$P50^(1-($J50/1000)/0.075)*'Konstanten'!$C$14^'Konstanten'!$C$16*'Konstanten'!$C$15^'Konstanten'!$C$17*$N50)</f>
        <v/>
      </c>
      <c r="R50" s="64">
        <f>IF(OR($B50="",$Q50=""),"",$E50+$Q50/'Grundeinstellungen'!$J$6)</f>
        <v/>
      </c>
      <c r="S50" s="64">
        <f>IF($B50="","",IFERROR(VLOOKUP($M50,'Konstanten'!$H$6:$I$13,2,FALSE),29))</f>
        <v/>
      </c>
      <c r="T50" s="65">
        <f>IF(OR($B50="",$Q50=""),"",$Q50*$H50)</f>
        <v/>
      </c>
      <c r="U50" s="66">
        <f>IF(OR($B50="",$T50=""),"",$T50-$F50)</f>
        <v/>
      </c>
      <c r="V50" s="67">
        <f>IF(OR($B50="",$T50=""),"",IFERROR($T50/$F50,""))</f>
        <v/>
      </c>
      <c r="W50" s="65">
        <f>IF(OR($B50="",$H50=""),"",'Grundeinstellungen'!$J$13*$H50)</f>
        <v/>
      </c>
      <c r="X50" s="65">
        <f>IF(OR($B50="",$T50=""),"",MIN($T50,$F50)+$W50)</f>
        <v/>
      </c>
      <c r="Y50" s="68">
        <f>IF($B50="","",IFERROR($H50/($J50/1000),""))</f>
        <v/>
      </c>
      <c r="Z50" s="68">
        <f>IF($B50="","",IFERROR(2*$L50*$K50,""))</f>
        <v/>
      </c>
      <c r="AA50" s="68">
        <f>IF(OR($B50="",$Y50="",$Z50=""),"",$Y50+$Z50)</f>
        <v/>
      </c>
      <c r="AB50" s="68">
        <f>IF(OR($B50="",$AA50=""),"",IFERROR($AA50/$K50,""))</f>
        <v/>
      </c>
      <c r="AC50" s="69">
        <f>IF(OR($B50="",$X50=""),"",IFERROR(($X50/$K50)/('Grundeinstellungen'!$C$16*('Grundeinstellungen'!$C$6-'Grundeinstellungen'!$C$7))*3600,""))</f>
        <v/>
      </c>
      <c r="AD50" s="70">
        <f>IF(OR($B50="",$AC50=""),"",$AC50/'Grundeinstellungen'!$C$15*1000)</f>
        <v/>
      </c>
      <c r="AE50" s="71">
        <f>IF(OR($B50="",$AC50=""),"",IFERROR($AC50/3600/'Grundeinstellungen'!$C$15/'Grundeinstellungen'!$J$22,""))</f>
        <v/>
      </c>
      <c r="AF50" s="72">
        <f>IF(OR($B50="",$AE50=""),"",IFERROR($AE50*'Grundeinstellungen'!$J$21/'Grundeinstellungen'!$C$17,""))</f>
        <v/>
      </c>
      <c r="AG50" s="73">
        <f>IF(OR($B50="",$AF50=""),"",IF($AF50&lt;2300,"laminar",IF($AF50&lt;4000,"Übergangsbereich","turbulent")))</f>
        <v/>
      </c>
      <c r="AH50" s="74">
        <f>IF(OR($B50="",$AF50=""),"",IF($AF50&lt;2300,64/$AF50,0.316/$AF50^0.25))</f>
        <v/>
      </c>
      <c r="AI50" s="75">
        <f>IF(OR($B50="",$AH50="",$AB50=""),"",IFERROR($AH50*($AB50/'Grundeinstellungen'!$J$21)*('Grundeinstellungen'!$C$15/2)*$AE50^2,""))</f>
        <v/>
      </c>
      <c r="AJ50" s="76">
        <f>IF(OR($B50="",$AI50="",$AB50=""),"",IFERROR($AI50/$AB50,""))</f>
        <v/>
      </c>
      <c r="AK50" s="75">
        <f>IF(OR($B50="",$AI50=""),"",$AI50*(1+'Grundeinstellungen'!$C$24)+'Grundeinstellungen'!$C$25)</f>
        <v/>
      </c>
    </row>
    <row r="51">
      <c r="A51" s="51" t="n"/>
      <c r="B51" s="51" t="n"/>
      <c r="C51" s="51" t="n"/>
      <c r="D51" s="52" t="n"/>
      <c r="E51" s="53" t="n"/>
      <c r="F51" s="54" t="n"/>
      <c r="G51" s="55">
        <f>IF($B51="","",IFERROR($F51/$D51,""))</f>
        <v/>
      </c>
      <c r="H51" s="52" t="n"/>
      <c r="I51" s="56" t="n"/>
      <c r="J51" s="57" t="n"/>
      <c r="K51" s="58" t="n"/>
      <c r="L51" s="59" t="n"/>
      <c r="M51" s="60" t="n"/>
      <c r="N51" s="61">
        <f>IF($B51="","",IFERROR(('Grundeinstellungen'!$C$6-'Grundeinstellungen'!$C$7)/LN(('Grundeinstellungen'!$C$6-$E51)/('Grundeinstellungen'!$C$7-$E51)),""))</f>
        <v/>
      </c>
      <c r="O51" s="62">
        <f>IF($B51="","",IFERROR(IFERROR(INDEX('Konstanten'!$B$6:$B$10,MATCH($I51,'Konstanten'!$A$6:$A$10,1))+($I51-INDEX('Konstanten'!$A$6:$A$10,MATCH($I51,'Konstanten'!$A$6:$A$10,1)))/(INDEX('Konstanten'!$A$6:$A$10,MATCH($I51,'Konstanten'!$A$6:$A$10,1)+1)-INDEX('Konstanten'!$A$6:$A$10,MATCH($I51,'Konstanten'!$A$6:$A$10,1)))*(INDEX('Konstanten'!$B$6:$B$10,MATCH($I51,'Konstanten'!$A$6:$A$10,1)+1)-INDEX('Konstanten'!$B$6:$B$10,MATCH($I51,'Konstanten'!$A$6:$A$10,1))),INDEX('Konstanten'!$B$6:$B$10,MATCH($I51,'Konstanten'!$A$6:$A$10,1))),""))</f>
        <v/>
      </c>
      <c r="P51" s="62">
        <f>IF($B51="","",IFERROR(IFERROR(INDEX('Konstanten'!$C$6:$C$10,MATCH($I51,'Konstanten'!$A$6:$A$10,1))+($I51-INDEX('Konstanten'!$A$6:$A$10,MATCH($I51,'Konstanten'!$A$6:$A$10,1)))/(INDEX('Konstanten'!$A$6:$A$10,MATCH($I51,'Konstanten'!$A$6:$A$10,1)+1)-INDEX('Konstanten'!$A$6:$A$10,MATCH($I51,'Konstanten'!$A$6:$A$10,1)))*(INDEX('Konstanten'!$C$6:$C$10,MATCH($I51,'Konstanten'!$A$6:$A$10,1)+1)-INDEX('Konstanten'!$C$6:$C$10,MATCH($I51,'Konstanten'!$A$6:$A$10,1))),INDEX('Konstanten'!$C$6:$C$10,MATCH($I51,'Konstanten'!$A$6:$A$10,1))),""))</f>
        <v/>
      </c>
      <c r="Q51" s="63">
        <f>IF(OR($B51="",$N51="",$O51="",$P51=""),"",'Konstanten'!$C$13*$O51*$P51^(1-($J51/1000)/0.075)*'Konstanten'!$C$14^'Konstanten'!$C$16*'Konstanten'!$C$15^'Konstanten'!$C$17*$N51)</f>
        <v/>
      </c>
      <c r="R51" s="64">
        <f>IF(OR($B51="",$Q51=""),"",$E51+$Q51/'Grundeinstellungen'!$J$6)</f>
        <v/>
      </c>
      <c r="S51" s="64">
        <f>IF($B51="","",IFERROR(VLOOKUP($M51,'Konstanten'!$H$6:$I$13,2,FALSE),29))</f>
        <v/>
      </c>
      <c r="T51" s="65">
        <f>IF(OR($B51="",$Q51=""),"",$Q51*$H51)</f>
        <v/>
      </c>
      <c r="U51" s="66">
        <f>IF(OR($B51="",$T51=""),"",$T51-$F51)</f>
        <v/>
      </c>
      <c r="V51" s="67">
        <f>IF(OR($B51="",$T51=""),"",IFERROR($T51/$F51,""))</f>
        <v/>
      </c>
      <c r="W51" s="65">
        <f>IF(OR($B51="",$H51=""),"",'Grundeinstellungen'!$J$13*$H51)</f>
        <v/>
      </c>
      <c r="X51" s="65">
        <f>IF(OR($B51="",$T51=""),"",MIN($T51,$F51)+$W51)</f>
        <v/>
      </c>
      <c r="Y51" s="68">
        <f>IF($B51="","",IFERROR($H51/($J51/1000),""))</f>
        <v/>
      </c>
      <c r="Z51" s="68">
        <f>IF($B51="","",IFERROR(2*$L51*$K51,""))</f>
        <v/>
      </c>
      <c r="AA51" s="68">
        <f>IF(OR($B51="",$Y51="",$Z51=""),"",$Y51+$Z51)</f>
        <v/>
      </c>
      <c r="AB51" s="68">
        <f>IF(OR($B51="",$AA51=""),"",IFERROR($AA51/$K51,""))</f>
        <v/>
      </c>
      <c r="AC51" s="69">
        <f>IF(OR($B51="",$X51=""),"",IFERROR(($X51/$K51)/('Grundeinstellungen'!$C$16*('Grundeinstellungen'!$C$6-'Grundeinstellungen'!$C$7))*3600,""))</f>
        <v/>
      </c>
      <c r="AD51" s="70">
        <f>IF(OR($B51="",$AC51=""),"",$AC51/'Grundeinstellungen'!$C$15*1000)</f>
        <v/>
      </c>
      <c r="AE51" s="71">
        <f>IF(OR($B51="",$AC51=""),"",IFERROR($AC51/3600/'Grundeinstellungen'!$C$15/'Grundeinstellungen'!$J$22,""))</f>
        <v/>
      </c>
      <c r="AF51" s="72">
        <f>IF(OR($B51="",$AE51=""),"",IFERROR($AE51*'Grundeinstellungen'!$J$21/'Grundeinstellungen'!$C$17,""))</f>
        <v/>
      </c>
      <c r="AG51" s="73">
        <f>IF(OR($B51="",$AF51=""),"",IF($AF51&lt;2300,"laminar",IF($AF51&lt;4000,"Übergangsbereich","turbulent")))</f>
        <v/>
      </c>
      <c r="AH51" s="74">
        <f>IF(OR($B51="",$AF51=""),"",IF($AF51&lt;2300,64/$AF51,0.316/$AF51^0.25))</f>
        <v/>
      </c>
      <c r="AI51" s="75">
        <f>IF(OR($B51="",$AH51="",$AB51=""),"",IFERROR($AH51*($AB51/'Grundeinstellungen'!$J$21)*('Grundeinstellungen'!$C$15/2)*$AE51^2,""))</f>
        <v/>
      </c>
      <c r="AJ51" s="76">
        <f>IF(OR($B51="",$AI51="",$AB51=""),"",IFERROR($AI51/$AB51,""))</f>
        <v/>
      </c>
      <c r="AK51" s="75">
        <f>IF(OR($B51="",$AI51=""),"",$AI51*(1+'Grundeinstellungen'!$C$24)+'Grundeinstellungen'!$C$25)</f>
        <v/>
      </c>
    </row>
    <row r="52">
      <c r="A52" s="51" t="n"/>
      <c r="B52" s="51" t="n"/>
      <c r="C52" s="51" t="n"/>
      <c r="D52" s="52" t="n"/>
      <c r="E52" s="53" t="n"/>
      <c r="F52" s="54" t="n"/>
      <c r="G52" s="55">
        <f>IF($B52="","",IFERROR($F52/$D52,""))</f>
        <v/>
      </c>
      <c r="H52" s="52" t="n"/>
      <c r="I52" s="56" t="n"/>
      <c r="J52" s="57" t="n"/>
      <c r="K52" s="58" t="n"/>
      <c r="L52" s="59" t="n"/>
      <c r="M52" s="60" t="n"/>
      <c r="N52" s="61">
        <f>IF($B52="","",IFERROR(('Grundeinstellungen'!$C$6-'Grundeinstellungen'!$C$7)/LN(('Grundeinstellungen'!$C$6-$E52)/('Grundeinstellungen'!$C$7-$E52)),""))</f>
        <v/>
      </c>
      <c r="O52" s="62">
        <f>IF($B52="","",IFERROR(IFERROR(INDEX('Konstanten'!$B$6:$B$10,MATCH($I52,'Konstanten'!$A$6:$A$10,1))+($I52-INDEX('Konstanten'!$A$6:$A$10,MATCH($I52,'Konstanten'!$A$6:$A$10,1)))/(INDEX('Konstanten'!$A$6:$A$10,MATCH($I52,'Konstanten'!$A$6:$A$10,1)+1)-INDEX('Konstanten'!$A$6:$A$10,MATCH($I52,'Konstanten'!$A$6:$A$10,1)))*(INDEX('Konstanten'!$B$6:$B$10,MATCH($I52,'Konstanten'!$A$6:$A$10,1)+1)-INDEX('Konstanten'!$B$6:$B$10,MATCH($I52,'Konstanten'!$A$6:$A$10,1))),INDEX('Konstanten'!$B$6:$B$10,MATCH($I52,'Konstanten'!$A$6:$A$10,1))),""))</f>
        <v/>
      </c>
      <c r="P52" s="62">
        <f>IF($B52="","",IFERROR(IFERROR(INDEX('Konstanten'!$C$6:$C$10,MATCH($I52,'Konstanten'!$A$6:$A$10,1))+($I52-INDEX('Konstanten'!$A$6:$A$10,MATCH($I52,'Konstanten'!$A$6:$A$10,1)))/(INDEX('Konstanten'!$A$6:$A$10,MATCH($I52,'Konstanten'!$A$6:$A$10,1)+1)-INDEX('Konstanten'!$A$6:$A$10,MATCH($I52,'Konstanten'!$A$6:$A$10,1)))*(INDEX('Konstanten'!$C$6:$C$10,MATCH($I52,'Konstanten'!$A$6:$A$10,1)+1)-INDEX('Konstanten'!$C$6:$C$10,MATCH($I52,'Konstanten'!$A$6:$A$10,1))),INDEX('Konstanten'!$C$6:$C$10,MATCH($I52,'Konstanten'!$A$6:$A$10,1))),""))</f>
        <v/>
      </c>
      <c r="Q52" s="63">
        <f>IF(OR($B52="",$N52="",$O52="",$P52=""),"",'Konstanten'!$C$13*$O52*$P52^(1-($J52/1000)/0.075)*'Konstanten'!$C$14^'Konstanten'!$C$16*'Konstanten'!$C$15^'Konstanten'!$C$17*$N52)</f>
        <v/>
      </c>
      <c r="R52" s="64">
        <f>IF(OR($B52="",$Q52=""),"",$E52+$Q52/'Grundeinstellungen'!$J$6)</f>
        <v/>
      </c>
      <c r="S52" s="64">
        <f>IF($B52="","",IFERROR(VLOOKUP($M52,'Konstanten'!$H$6:$I$13,2,FALSE),29))</f>
        <v/>
      </c>
      <c r="T52" s="65">
        <f>IF(OR($B52="",$Q52=""),"",$Q52*$H52)</f>
        <v/>
      </c>
      <c r="U52" s="66">
        <f>IF(OR($B52="",$T52=""),"",$T52-$F52)</f>
        <v/>
      </c>
      <c r="V52" s="67">
        <f>IF(OR($B52="",$T52=""),"",IFERROR($T52/$F52,""))</f>
        <v/>
      </c>
      <c r="W52" s="65">
        <f>IF(OR($B52="",$H52=""),"",'Grundeinstellungen'!$J$13*$H52)</f>
        <v/>
      </c>
      <c r="X52" s="65">
        <f>IF(OR($B52="",$T52=""),"",MIN($T52,$F52)+$W52)</f>
        <v/>
      </c>
      <c r="Y52" s="68">
        <f>IF($B52="","",IFERROR($H52/($J52/1000),""))</f>
        <v/>
      </c>
      <c r="Z52" s="68">
        <f>IF($B52="","",IFERROR(2*$L52*$K52,""))</f>
        <v/>
      </c>
      <c r="AA52" s="68">
        <f>IF(OR($B52="",$Y52="",$Z52=""),"",$Y52+$Z52)</f>
        <v/>
      </c>
      <c r="AB52" s="68">
        <f>IF(OR($B52="",$AA52=""),"",IFERROR($AA52/$K52,""))</f>
        <v/>
      </c>
      <c r="AC52" s="69">
        <f>IF(OR($B52="",$X52=""),"",IFERROR(($X52/$K52)/('Grundeinstellungen'!$C$16*('Grundeinstellungen'!$C$6-'Grundeinstellungen'!$C$7))*3600,""))</f>
        <v/>
      </c>
      <c r="AD52" s="70">
        <f>IF(OR($B52="",$AC52=""),"",$AC52/'Grundeinstellungen'!$C$15*1000)</f>
        <v/>
      </c>
      <c r="AE52" s="71">
        <f>IF(OR($B52="",$AC52=""),"",IFERROR($AC52/3600/'Grundeinstellungen'!$C$15/'Grundeinstellungen'!$J$22,""))</f>
        <v/>
      </c>
      <c r="AF52" s="72">
        <f>IF(OR($B52="",$AE52=""),"",IFERROR($AE52*'Grundeinstellungen'!$J$21/'Grundeinstellungen'!$C$17,""))</f>
        <v/>
      </c>
      <c r="AG52" s="73">
        <f>IF(OR($B52="",$AF52=""),"",IF($AF52&lt;2300,"laminar",IF($AF52&lt;4000,"Übergangsbereich","turbulent")))</f>
        <v/>
      </c>
      <c r="AH52" s="74">
        <f>IF(OR($B52="",$AF52=""),"",IF($AF52&lt;2300,64/$AF52,0.316/$AF52^0.25))</f>
        <v/>
      </c>
      <c r="AI52" s="75">
        <f>IF(OR($B52="",$AH52="",$AB52=""),"",IFERROR($AH52*($AB52/'Grundeinstellungen'!$J$21)*('Grundeinstellungen'!$C$15/2)*$AE52^2,""))</f>
        <v/>
      </c>
      <c r="AJ52" s="76">
        <f>IF(OR($B52="",$AI52="",$AB52=""),"",IFERROR($AI52/$AB52,""))</f>
        <v/>
      </c>
      <c r="AK52" s="75">
        <f>IF(OR($B52="",$AI52=""),"",$AI52*(1+'Grundeinstellungen'!$C$24)+'Grundeinstellungen'!$C$25)</f>
        <v/>
      </c>
    </row>
    <row r="53">
      <c r="A53" s="51" t="n"/>
      <c r="B53" s="51" t="n"/>
      <c r="C53" s="51" t="n"/>
      <c r="D53" s="52" t="n"/>
      <c r="E53" s="53" t="n"/>
      <c r="F53" s="54" t="n"/>
      <c r="G53" s="55">
        <f>IF($B53="","",IFERROR($F53/$D53,""))</f>
        <v/>
      </c>
      <c r="H53" s="52" t="n"/>
      <c r="I53" s="56" t="n"/>
      <c r="J53" s="57" t="n"/>
      <c r="K53" s="58" t="n"/>
      <c r="L53" s="59" t="n"/>
      <c r="M53" s="60" t="n"/>
      <c r="N53" s="61">
        <f>IF($B53="","",IFERROR(('Grundeinstellungen'!$C$6-'Grundeinstellungen'!$C$7)/LN(('Grundeinstellungen'!$C$6-$E53)/('Grundeinstellungen'!$C$7-$E53)),""))</f>
        <v/>
      </c>
      <c r="O53" s="62">
        <f>IF($B53="","",IFERROR(IFERROR(INDEX('Konstanten'!$B$6:$B$10,MATCH($I53,'Konstanten'!$A$6:$A$10,1))+($I53-INDEX('Konstanten'!$A$6:$A$10,MATCH($I53,'Konstanten'!$A$6:$A$10,1)))/(INDEX('Konstanten'!$A$6:$A$10,MATCH($I53,'Konstanten'!$A$6:$A$10,1)+1)-INDEX('Konstanten'!$A$6:$A$10,MATCH($I53,'Konstanten'!$A$6:$A$10,1)))*(INDEX('Konstanten'!$B$6:$B$10,MATCH($I53,'Konstanten'!$A$6:$A$10,1)+1)-INDEX('Konstanten'!$B$6:$B$10,MATCH($I53,'Konstanten'!$A$6:$A$10,1))),INDEX('Konstanten'!$B$6:$B$10,MATCH($I53,'Konstanten'!$A$6:$A$10,1))),""))</f>
        <v/>
      </c>
      <c r="P53" s="62">
        <f>IF($B53="","",IFERROR(IFERROR(INDEX('Konstanten'!$C$6:$C$10,MATCH($I53,'Konstanten'!$A$6:$A$10,1))+($I53-INDEX('Konstanten'!$A$6:$A$10,MATCH($I53,'Konstanten'!$A$6:$A$10,1)))/(INDEX('Konstanten'!$A$6:$A$10,MATCH($I53,'Konstanten'!$A$6:$A$10,1)+1)-INDEX('Konstanten'!$A$6:$A$10,MATCH($I53,'Konstanten'!$A$6:$A$10,1)))*(INDEX('Konstanten'!$C$6:$C$10,MATCH($I53,'Konstanten'!$A$6:$A$10,1)+1)-INDEX('Konstanten'!$C$6:$C$10,MATCH($I53,'Konstanten'!$A$6:$A$10,1))),INDEX('Konstanten'!$C$6:$C$10,MATCH($I53,'Konstanten'!$A$6:$A$10,1))),""))</f>
        <v/>
      </c>
      <c r="Q53" s="63">
        <f>IF(OR($B53="",$N53="",$O53="",$P53=""),"",'Konstanten'!$C$13*$O53*$P53^(1-($J53/1000)/0.075)*'Konstanten'!$C$14^'Konstanten'!$C$16*'Konstanten'!$C$15^'Konstanten'!$C$17*$N53)</f>
        <v/>
      </c>
      <c r="R53" s="64">
        <f>IF(OR($B53="",$Q53=""),"",$E53+$Q53/'Grundeinstellungen'!$J$6)</f>
        <v/>
      </c>
      <c r="S53" s="64">
        <f>IF($B53="","",IFERROR(VLOOKUP($M53,'Konstanten'!$H$6:$I$13,2,FALSE),29))</f>
        <v/>
      </c>
      <c r="T53" s="65">
        <f>IF(OR($B53="",$Q53=""),"",$Q53*$H53)</f>
        <v/>
      </c>
      <c r="U53" s="66">
        <f>IF(OR($B53="",$T53=""),"",$T53-$F53)</f>
        <v/>
      </c>
      <c r="V53" s="67">
        <f>IF(OR($B53="",$T53=""),"",IFERROR($T53/$F53,""))</f>
        <v/>
      </c>
      <c r="W53" s="65">
        <f>IF(OR($B53="",$H53=""),"",'Grundeinstellungen'!$J$13*$H53)</f>
        <v/>
      </c>
      <c r="X53" s="65">
        <f>IF(OR($B53="",$T53=""),"",MIN($T53,$F53)+$W53)</f>
        <v/>
      </c>
      <c r="Y53" s="68">
        <f>IF($B53="","",IFERROR($H53/($J53/1000),""))</f>
        <v/>
      </c>
      <c r="Z53" s="68">
        <f>IF($B53="","",IFERROR(2*$L53*$K53,""))</f>
        <v/>
      </c>
      <c r="AA53" s="68">
        <f>IF(OR($B53="",$Y53="",$Z53=""),"",$Y53+$Z53)</f>
        <v/>
      </c>
      <c r="AB53" s="68">
        <f>IF(OR($B53="",$AA53=""),"",IFERROR($AA53/$K53,""))</f>
        <v/>
      </c>
      <c r="AC53" s="69">
        <f>IF(OR($B53="",$X53=""),"",IFERROR(($X53/$K53)/('Grundeinstellungen'!$C$16*('Grundeinstellungen'!$C$6-'Grundeinstellungen'!$C$7))*3600,""))</f>
        <v/>
      </c>
      <c r="AD53" s="70">
        <f>IF(OR($B53="",$AC53=""),"",$AC53/'Grundeinstellungen'!$C$15*1000)</f>
        <v/>
      </c>
      <c r="AE53" s="71">
        <f>IF(OR($B53="",$AC53=""),"",IFERROR($AC53/3600/'Grundeinstellungen'!$C$15/'Grundeinstellungen'!$J$22,""))</f>
        <v/>
      </c>
      <c r="AF53" s="72">
        <f>IF(OR($B53="",$AE53=""),"",IFERROR($AE53*'Grundeinstellungen'!$J$21/'Grundeinstellungen'!$C$17,""))</f>
        <v/>
      </c>
      <c r="AG53" s="73">
        <f>IF(OR($B53="",$AF53=""),"",IF($AF53&lt;2300,"laminar",IF($AF53&lt;4000,"Übergangsbereich","turbulent")))</f>
        <v/>
      </c>
      <c r="AH53" s="74">
        <f>IF(OR($B53="",$AF53=""),"",IF($AF53&lt;2300,64/$AF53,0.316/$AF53^0.25))</f>
        <v/>
      </c>
      <c r="AI53" s="75">
        <f>IF(OR($B53="",$AH53="",$AB53=""),"",IFERROR($AH53*($AB53/'Grundeinstellungen'!$J$21)*('Grundeinstellungen'!$C$15/2)*$AE53^2,""))</f>
        <v/>
      </c>
      <c r="AJ53" s="76">
        <f>IF(OR($B53="",$AI53="",$AB53=""),"",IFERROR($AI53/$AB53,""))</f>
        <v/>
      </c>
      <c r="AK53" s="75">
        <f>IF(OR($B53="",$AI53=""),"",$AI53*(1+'Grundeinstellungen'!$C$24)+'Grundeinstellungen'!$C$25)</f>
        <v/>
      </c>
    </row>
    <row r="54">
      <c r="A54" s="51" t="n"/>
      <c r="B54" s="51" t="n"/>
      <c r="C54" s="51" t="n"/>
      <c r="D54" s="52" t="n"/>
      <c r="E54" s="53" t="n"/>
      <c r="F54" s="54" t="n"/>
      <c r="G54" s="55">
        <f>IF($B54="","",IFERROR($F54/$D54,""))</f>
        <v/>
      </c>
      <c r="H54" s="52" t="n"/>
      <c r="I54" s="56" t="n"/>
      <c r="J54" s="57" t="n"/>
      <c r="K54" s="58" t="n"/>
      <c r="L54" s="59" t="n"/>
      <c r="M54" s="60" t="n"/>
      <c r="N54" s="61">
        <f>IF($B54="","",IFERROR(('Grundeinstellungen'!$C$6-'Grundeinstellungen'!$C$7)/LN(('Grundeinstellungen'!$C$6-$E54)/('Grundeinstellungen'!$C$7-$E54)),""))</f>
        <v/>
      </c>
      <c r="O54" s="62">
        <f>IF($B54="","",IFERROR(IFERROR(INDEX('Konstanten'!$B$6:$B$10,MATCH($I54,'Konstanten'!$A$6:$A$10,1))+($I54-INDEX('Konstanten'!$A$6:$A$10,MATCH($I54,'Konstanten'!$A$6:$A$10,1)))/(INDEX('Konstanten'!$A$6:$A$10,MATCH($I54,'Konstanten'!$A$6:$A$10,1)+1)-INDEX('Konstanten'!$A$6:$A$10,MATCH($I54,'Konstanten'!$A$6:$A$10,1)))*(INDEX('Konstanten'!$B$6:$B$10,MATCH($I54,'Konstanten'!$A$6:$A$10,1)+1)-INDEX('Konstanten'!$B$6:$B$10,MATCH($I54,'Konstanten'!$A$6:$A$10,1))),INDEX('Konstanten'!$B$6:$B$10,MATCH($I54,'Konstanten'!$A$6:$A$10,1))),""))</f>
        <v/>
      </c>
      <c r="P54" s="62">
        <f>IF($B54="","",IFERROR(IFERROR(INDEX('Konstanten'!$C$6:$C$10,MATCH($I54,'Konstanten'!$A$6:$A$10,1))+($I54-INDEX('Konstanten'!$A$6:$A$10,MATCH($I54,'Konstanten'!$A$6:$A$10,1)))/(INDEX('Konstanten'!$A$6:$A$10,MATCH($I54,'Konstanten'!$A$6:$A$10,1)+1)-INDEX('Konstanten'!$A$6:$A$10,MATCH($I54,'Konstanten'!$A$6:$A$10,1)))*(INDEX('Konstanten'!$C$6:$C$10,MATCH($I54,'Konstanten'!$A$6:$A$10,1)+1)-INDEX('Konstanten'!$C$6:$C$10,MATCH($I54,'Konstanten'!$A$6:$A$10,1))),INDEX('Konstanten'!$C$6:$C$10,MATCH($I54,'Konstanten'!$A$6:$A$10,1))),""))</f>
        <v/>
      </c>
      <c r="Q54" s="63">
        <f>IF(OR($B54="",$N54="",$O54="",$P54=""),"",'Konstanten'!$C$13*$O54*$P54^(1-($J54/1000)/0.075)*'Konstanten'!$C$14^'Konstanten'!$C$16*'Konstanten'!$C$15^'Konstanten'!$C$17*$N54)</f>
        <v/>
      </c>
      <c r="R54" s="64">
        <f>IF(OR($B54="",$Q54=""),"",$E54+$Q54/'Grundeinstellungen'!$J$6)</f>
        <v/>
      </c>
      <c r="S54" s="64">
        <f>IF($B54="","",IFERROR(VLOOKUP($M54,'Konstanten'!$H$6:$I$13,2,FALSE),29))</f>
        <v/>
      </c>
      <c r="T54" s="65">
        <f>IF(OR($B54="",$Q54=""),"",$Q54*$H54)</f>
        <v/>
      </c>
      <c r="U54" s="66">
        <f>IF(OR($B54="",$T54=""),"",$T54-$F54)</f>
        <v/>
      </c>
      <c r="V54" s="67">
        <f>IF(OR($B54="",$T54=""),"",IFERROR($T54/$F54,""))</f>
        <v/>
      </c>
      <c r="W54" s="65">
        <f>IF(OR($B54="",$H54=""),"",'Grundeinstellungen'!$J$13*$H54)</f>
        <v/>
      </c>
      <c r="X54" s="65">
        <f>IF(OR($B54="",$T54=""),"",MIN($T54,$F54)+$W54)</f>
        <v/>
      </c>
      <c r="Y54" s="68">
        <f>IF($B54="","",IFERROR($H54/($J54/1000),""))</f>
        <v/>
      </c>
      <c r="Z54" s="68">
        <f>IF($B54="","",IFERROR(2*$L54*$K54,""))</f>
        <v/>
      </c>
      <c r="AA54" s="68">
        <f>IF(OR($B54="",$Y54="",$Z54=""),"",$Y54+$Z54)</f>
        <v/>
      </c>
      <c r="AB54" s="68">
        <f>IF(OR($B54="",$AA54=""),"",IFERROR($AA54/$K54,""))</f>
        <v/>
      </c>
      <c r="AC54" s="69">
        <f>IF(OR($B54="",$X54=""),"",IFERROR(($X54/$K54)/('Grundeinstellungen'!$C$16*('Grundeinstellungen'!$C$6-'Grundeinstellungen'!$C$7))*3600,""))</f>
        <v/>
      </c>
      <c r="AD54" s="70">
        <f>IF(OR($B54="",$AC54=""),"",$AC54/'Grundeinstellungen'!$C$15*1000)</f>
        <v/>
      </c>
      <c r="AE54" s="71">
        <f>IF(OR($B54="",$AC54=""),"",IFERROR($AC54/3600/'Grundeinstellungen'!$C$15/'Grundeinstellungen'!$J$22,""))</f>
        <v/>
      </c>
      <c r="AF54" s="72">
        <f>IF(OR($B54="",$AE54=""),"",IFERROR($AE54*'Grundeinstellungen'!$J$21/'Grundeinstellungen'!$C$17,""))</f>
        <v/>
      </c>
      <c r="AG54" s="73">
        <f>IF(OR($B54="",$AF54=""),"",IF($AF54&lt;2300,"laminar",IF($AF54&lt;4000,"Übergangsbereich","turbulent")))</f>
        <v/>
      </c>
      <c r="AH54" s="74">
        <f>IF(OR($B54="",$AF54=""),"",IF($AF54&lt;2300,64/$AF54,0.316/$AF54^0.25))</f>
        <v/>
      </c>
      <c r="AI54" s="75">
        <f>IF(OR($B54="",$AH54="",$AB54=""),"",IFERROR($AH54*($AB54/'Grundeinstellungen'!$J$21)*('Grundeinstellungen'!$C$15/2)*$AE54^2,""))</f>
        <v/>
      </c>
      <c r="AJ54" s="76">
        <f>IF(OR($B54="",$AI54="",$AB54=""),"",IFERROR($AI54/$AB54,""))</f>
        <v/>
      </c>
      <c r="AK54" s="75">
        <f>IF(OR($B54="",$AI54=""),"",$AI54*(1+'Grundeinstellungen'!$C$24)+'Grundeinstellungen'!$C$25)</f>
        <v/>
      </c>
    </row>
    <row r="55">
      <c r="A55" s="51" t="n"/>
      <c r="B55" s="51" t="n"/>
      <c r="C55" s="51" t="n"/>
      <c r="D55" s="52" t="n"/>
      <c r="E55" s="53" t="n"/>
      <c r="F55" s="54" t="n"/>
      <c r="G55" s="55">
        <f>IF($B55="","",IFERROR($F55/$D55,""))</f>
        <v/>
      </c>
      <c r="H55" s="52" t="n"/>
      <c r="I55" s="56" t="n"/>
      <c r="J55" s="57" t="n"/>
      <c r="K55" s="58" t="n"/>
      <c r="L55" s="59" t="n"/>
      <c r="M55" s="60" t="n"/>
      <c r="N55" s="61">
        <f>IF($B55="","",IFERROR(('Grundeinstellungen'!$C$6-'Grundeinstellungen'!$C$7)/LN(('Grundeinstellungen'!$C$6-$E55)/('Grundeinstellungen'!$C$7-$E55)),""))</f>
        <v/>
      </c>
      <c r="O55" s="62">
        <f>IF($B55="","",IFERROR(IFERROR(INDEX('Konstanten'!$B$6:$B$10,MATCH($I55,'Konstanten'!$A$6:$A$10,1))+($I55-INDEX('Konstanten'!$A$6:$A$10,MATCH($I55,'Konstanten'!$A$6:$A$10,1)))/(INDEX('Konstanten'!$A$6:$A$10,MATCH($I55,'Konstanten'!$A$6:$A$10,1)+1)-INDEX('Konstanten'!$A$6:$A$10,MATCH($I55,'Konstanten'!$A$6:$A$10,1)))*(INDEX('Konstanten'!$B$6:$B$10,MATCH($I55,'Konstanten'!$A$6:$A$10,1)+1)-INDEX('Konstanten'!$B$6:$B$10,MATCH($I55,'Konstanten'!$A$6:$A$10,1))),INDEX('Konstanten'!$B$6:$B$10,MATCH($I55,'Konstanten'!$A$6:$A$10,1))),""))</f>
        <v/>
      </c>
      <c r="P55" s="62">
        <f>IF($B55="","",IFERROR(IFERROR(INDEX('Konstanten'!$C$6:$C$10,MATCH($I55,'Konstanten'!$A$6:$A$10,1))+($I55-INDEX('Konstanten'!$A$6:$A$10,MATCH($I55,'Konstanten'!$A$6:$A$10,1)))/(INDEX('Konstanten'!$A$6:$A$10,MATCH($I55,'Konstanten'!$A$6:$A$10,1)+1)-INDEX('Konstanten'!$A$6:$A$10,MATCH($I55,'Konstanten'!$A$6:$A$10,1)))*(INDEX('Konstanten'!$C$6:$C$10,MATCH($I55,'Konstanten'!$A$6:$A$10,1)+1)-INDEX('Konstanten'!$C$6:$C$10,MATCH($I55,'Konstanten'!$A$6:$A$10,1))),INDEX('Konstanten'!$C$6:$C$10,MATCH($I55,'Konstanten'!$A$6:$A$10,1))),""))</f>
        <v/>
      </c>
      <c r="Q55" s="63">
        <f>IF(OR($B55="",$N55="",$O55="",$P55=""),"",'Konstanten'!$C$13*$O55*$P55^(1-($J55/1000)/0.075)*'Konstanten'!$C$14^'Konstanten'!$C$16*'Konstanten'!$C$15^'Konstanten'!$C$17*$N55)</f>
        <v/>
      </c>
      <c r="R55" s="64">
        <f>IF(OR($B55="",$Q55=""),"",$E55+$Q55/'Grundeinstellungen'!$J$6)</f>
        <v/>
      </c>
      <c r="S55" s="64">
        <f>IF($B55="","",IFERROR(VLOOKUP($M55,'Konstanten'!$H$6:$I$13,2,FALSE),29))</f>
        <v/>
      </c>
      <c r="T55" s="65">
        <f>IF(OR($B55="",$Q55=""),"",$Q55*$H55)</f>
        <v/>
      </c>
      <c r="U55" s="66">
        <f>IF(OR($B55="",$T55=""),"",$T55-$F55)</f>
        <v/>
      </c>
      <c r="V55" s="67">
        <f>IF(OR($B55="",$T55=""),"",IFERROR($T55/$F55,""))</f>
        <v/>
      </c>
      <c r="W55" s="65">
        <f>IF(OR($B55="",$H55=""),"",'Grundeinstellungen'!$J$13*$H55)</f>
        <v/>
      </c>
      <c r="X55" s="65">
        <f>IF(OR($B55="",$T55=""),"",MIN($T55,$F55)+$W55)</f>
        <v/>
      </c>
      <c r="Y55" s="68">
        <f>IF($B55="","",IFERROR($H55/($J55/1000),""))</f>
        <v/>
      </c>
      <c r="Z55" s="68">
        <f>IF($B55="","",IFERROR(2*$L55*$K55,""))</f>
        <v/>
      </c>
      <c r="AA55" s="68">
        <f>IF(OR($B55="",$Y55="",$Z55=""),"",$Y55+$Z55)</f>
        <v/>
      </c>
      <c r="AB55" s="68">
        <f>IF(OR($B55="",$AA55=""),"",IFERROR($AA55/$K55,""))</f>
        <v/>
      </c>
      <c r="AC55" s="69">
        <f>IF(OR($B55="",$X55=""),"",IFERROR(($X55/$K55)/('Grundeinstellungen'!$C$16*('Grundeinstellungen'!$C$6-'Grundeinstellungen'!$C$7))*3600,""))</f>
        <v/>
      </c>
      <c r="AD55" s="70">
        <f>IF(OR($B55="",$AC55=""),"",$AC55/'Grundeinstellungen'!$C$15*1000)</f>
        <v/>
      </c>
      <c r="AE55" s="71">
        <f>IF(OR($B55="",$AC55=""),"",IFERROR($AC55/3600/'Grundeinstellungen'!$C$15/'Grundeinstellungen'!$J$22,""))</f>
        <v/>
      </c>
      <c r="AF55" s="72">
        <f>IF(OR($B55="",$AE55=""),"",IFERROR($AE55*'Grundeinstellungen'!$J$21/'Grundeinstellungen'!$C$17,""))</f>
        <v/>
      </c>
      <c r="AG55" s="73">
        <f>IF(OR($B55="",$AF55=""),"",IF($AF55&lt;2300,"laminar",IF($AF55&lt;4000,"Übergangsbereich","turbulent")))</f>
        <v/>
      </c>
      <c r="AH55" s="74">
        <f>IF(OR($B55="",$AF55=""),"",IF($AF55&lt;2300,64/$AF55,0.316/$AF55^0.25))</f>
        <v/>
      </c>
      <c r="AI55" s="75">
        <f>IF(OR($B55="",$AH55="",$AB55=""),"",IFERROR($AH55*($AB55/'Grundeinstellungen'!$J$21)*('Grundeinstellungen'!$C$15/2)*$AE55^2,""))</f>
        <v/>
      </c>
      <c r="AJ55" s="76">
        <f>IF(OR($B55="",$AI55="",$AB55=""),"",IFERROR($AI55/$AB55,""))</f>
        <v/>
      </c>
      <c r="AK55" s="75">
        <f>IF(OR($B55="",$AI55=""),"",$AI55*(1+'Grundeinstellungen'!$C$24)+'Grundeinstellungen'!$C$25)</f>
        <v/>
      </c>
    </row>
    <row r="56">
      <c r="A56" s="51" t="n"/>
      <c r="B56" s="51" t="n"/>
      <c r="C56" s="51" t="n"/>
      <c r="D56" s="52" t="n"/>
      <c r="E56" s="53" t="n"/>
      <c r="F56" s="54" t="n"/>
      <c r="G56" s="55">
        <f>IF($B56="","",IFERROR($F56/$D56,""))</f>
        <v/>
      </c>
      <c r="H56" s="52" t="n"/>
      <c r="I56" s="56" t="n"/>
      <c r="J56" s="57" t="n"/>
      <c r="K56" s="58" t="n"/>
      <c r="L56" s="59" t="n"/>
      <c r="M56" s="60" t="n"/>
      <c r="N56" s="61">
        <f>IF($B56="","",IFERROR(('Grundeinstellungen'!$C$6-'Grundeinstellungen'!$C$7)/LN(('Grundeinstellungen'!$C$6-$E56)/('Grundeinstellungen'!$C$7-$E56)),""))</f>
        <v/>
      </c>
      <c r="O56" s="62">
        <f>IF($B56="","",IFERROR(IFERROR(INDEX('Konstanten'!$B$6:$B$10,MATCH($I56,'Konstanten'!$A$6:$A$10,1))+($I56-INDEX('Konstanten'!$A$6:$A$10,MATCH($I56,'Konstanten'!$A$6:$A$10,1)))/(INDEX('Konstanten'!$A$6:$A$10,MATCH($I56,'Konstanten'!$A$6:$A$10,1)+1)-INDEX('Konstanten'!$A$6:$A$10,MATCH($I56,'Konstanten'!$A$6:$A$10,1)))*(INDEX('Konstanten'!$B$6:$B$10,MATCH($I56,'Konstanten'!$A$6:$A$10,1)+1)-INDEX('Konstanten'!$B$6:$B$10,MATCH($I56,'Konstanten'!$A$6:$A$10,1))),INDEX('Konstanten'!$B$6:$B$10,MATCH($I56,'Konstanten'!$A$6:$A$10,1))),""))</f>
        <v/>
      </c>
      <c r="P56" s="62">
        <f>IF($B56="","",IFERROR(IFERROR(INDEX('Konstanten'!$C$6:$C$10,MATCH($I56,'Konstanten'!$A$6:$A$10,1))+($I56-INDEX('Konstanten'!$A$6:$A$10,MATCH($I56,'Konstanten'!$A$6:$A$10,1)))/(INDEX('Konstanten'!$A$6:$A$10,MATCH($I56,'Konstanten'!$A$6:$A$10,1)+1)-INDEX('Konstanten'!$A$6:$A$10,MATCH($I56,'Konstanten'!$A$6:$A$10,1)))*(INDEX('Konstanten'!$C$6:$C$10,MATCH($I56,'Konstanten'!$A$6:$A$10,1)+1)-INDEX('Konstanten'!$C$6:$C$10,MATCH($I56,'Konstanten'!$A$6:$A$10,1))),INDEX('Konstanten'!$C$6:$C$10,MATCH($I56,'Konstanten'!$A$6:$A$10,1))),""))</f>
        <v/>
      </c>
      <c r="Q56" s="63">
        <f>IF(OR($B56="",$N56="",$O56="",$P56=""),"",'Konstanten'!$C$13*$O56*$P56^(1-($J56/1000)/0.075)*'Konstanten'!$C$14^'Konstanten'!$C$16*'Konstanten'!$C$15^'Konstanten'!$C$17*$N56)</f>
        <v/>
      </c>
      <c r="R56" s="64">
        <f>IF(OR($B56="",$Q56=""),"",$E56+$Q56/'Grundeinstellungen'!$J$6)</f>
        <v/>
      </c>
      <c r="S56" s="64">
        <f>IF($B56="","",IFERROR(VLOOKUP($M56,'Konstanten'!$H$6:$I$13,2,FALSE),29))</f>
        <v/>
      </c>
      <c r="T56" s="65">
        <f>IF(OR($B56="",$Q56=""),"",$Q56*$H56)</f>
        <v/>
      </c>
      <c r="U56" s="66">
        <f>IF(OR($B56="",$T56=""),"",$T56-$F56)</f>
        <v/>
      </c>
      <c r="V56" s="67">
        <f>IF(OR($B56="",$T56=""),"",IFERROR($T56/$F56,""))</f>
        <v/>
      </c>
      <c r="W56" s="65">
        <f>IF(OR($B56="",$H56=""),"",'Grundeinstellungen'!$J$13*$H56)</f>
        <v/>
      </c>
      <c r="X56" s="65">
        <f>IF(OR($B56="",$T56=""),"",MIN($T56,$F56)+$W56)</f>
        <v/>
      </c>
      <c r="Y56" s="68">
        <f>IF($B56="","",IFERROR($H56/($J56/1000),""))</f>
        <v/>
      </c>
      <c r="Z56" s="68">
        <f>IF($B56="","",IFERROR(2*$L56*$K56,""))</f>
        <v/>
      </c>
      <c r="AA56" s="68">
        <f>IF(OR($B56="",$Y56="",$Z56=""),"",$Y56+$Z56)</f>
        <v/>
      </c>
      <c r="AB56" s="68">
        <f>IF(OR($B56="",$AA56=""),"",IFERROR($AA56/$K56,""))</f>
        <v/>
      </c>
      <c r="AC56" s="69">
        <f>IF(OR($B56="",$X56=""),"",IFERROR(($X56/$K56)/('Grundeinstellungen'!$C$16*('Grundeinstellungen'!$C$6-'Grundeinstellungen'!$C$7))*3600,""))</f>
        <v/>
      </c>
      <c r="AD56" s="70">
        <f>IF(OR($B56="",$AC56=""),"",$AC56/'Grundeinstellungen'!$C$15*1000)</f>
        <v/>
      </c>
      <c r="AE56" s="71">
        <f>IF(OR($B56="",$AC56=""),"",IFERROR($AC56/3600/'Grundeinstellungen'!$C$15/'Grundeinstellungen'!$J$22,""))</f>
        <v/>
      </c>
      <c r="AF56" s="72">
        <f>IF(OR($B56="",$AE56=""),"",IFERROR($AE56*'Grundeinstellungen'!$J$21/'Grundeinstellungen'!$C$17,""))</f>
        <v/>
      </c>
      <c r="AG56" s="73">
        <f>IF(OR($B56="",$AF56=""),"",IF($AF56&lt;2300,"laminar",IF($AF56&lt;4000,"Übergangsbereich","turbulent")))</f>
        <v/>
      </c>
      <c r="AH56" s="74">
        <f>IF(OR($B56="",$AF56=""),"",IF($AF56&lt;2300,64/$AF56,0.316/$AF56^0.25))</f>
        <v/>
      </c>
      <c r="AI56" s="75">
        <f>IF(OR($B56="",$AH56="",$AB56=""),"",IFERROR($AH56*($AB56/'Grundeinstellungen'!$J$21)*('Grundeinstellungen'!$C$15/2)*$AE56^2,""))</f>
        <v/>
      </c>
      <c r="AJ56" s="76">
        <f>IF(OR($B56="",$AI56="",$AB56=""),"",IFERROR($AI56/$AB56,""))</f>
        <v/>
      </c>
      <c r="AK56" s="75">
        <f>IF(OR($B56="",$AI56=""),"",$AI56*(1+'Grundeinstellungen'!$C$24)+'Grundeinstellungen'!$C$25)</f>
        <v/>
      </c>
    </row>
    <row r="57">
      <c r="A57" s="51" t="n"/>
      <c r="B57" s="51" t="n"/>
      <c r="C57" s="51" t="n"/>
      <c r="D57" s="52" t="n"/>
      <c r="E57" s="53" t="n"/>
      <c r="F57" s="54" t="n"/>
      <c r="G57" s="55">
        <f>IF($B57="","",IFERROR($F57/$D57,""))</f>
        <v/>
      </c>
      <c r="H57" s="52" t="n"/>
      <c r="I57" s="56" t="n"/>
      <c r="J57" s="57" t="n"/>
      <c r="K57" s="58" t="n"/>
      <c r="L57" s="59" t="n"/>
      <c r="M57" s="60" t="n"/>
      <c r="N57" s="61">
        <f>IF($B57="","",IFERROR(('Grundeinstellungen'!$C$6-'Grundeinstellungen'!$C$7)/LN(('Grundeinstellungen'!$C$6-$E57)/('Grundeinstellungen'!$C$7-$E57)),""))</f>
        <v/>
      </c>
      <c r="O57" s="62">
        <f>IF($B57="","",IFERROR(IFERROR(INDEX('Konstanten'!$B$6:$B$10,MATCH($I57,'Konstanten'!$A$6:$A$10,1))+($I57-INDEX('Konstanten'!$A$6:$A$10,MATCH($I57,'Konstanten'!$A$6:$A$10,1)))/(INDEX('Konstanten'!$A$6:$A$10,MATCH($I57,'Konstanten'!$A$6:$A$10,1)+1)-INDEX('Konstanten'!$A$6:$A$10,MATCH($I57,'Konstanten'!$A$6:$A$10,1)))*(INDEX('Konstanten'!$B$6:$B$10,MATCH($I57,'Konstanten'!$A$6:$A$10,1)+1)-INDEX('Konstanten'!$B$6:$B$10,MATCH($I57,'Konstanten'!$A$6:$A$10,1))),INDEX('Konstanten'!$B$6:$B$10,MATCH($I57,'Konstanten'!$A$6:$A$10,1))),""))</f>
        <v/>
      </c>
      <c r="P57" s="62">
        <f>IF($B57="","",IFERROR(IFERROR(INDEX('Konstanten'!$C$6:$C$10,MATCH($I57,'Konstanten'!$A$6:$A$10,1))+($I57-INDEX('Konstanten'!$A$6:$A$10,MATCH($I57,'Konstanten'!$A$6:$A$10,1)))/(INDEX('Konstanten'!$A$6:$A$10,MATCH($I57,'Konstanten'!$A$6:$A$10,1)+1)-INDEX('Konstanten'!$A$6:$A$10,MATCH($I57,'Konstanten'!$A$6:$A$10,1)))*(INDEX('Konstanten'!$C$6:$C$10,MATCH($I57,'Konstanten'!$A$6:$A$10,1)+1)-INDEX('Konstanten'!$C$6:$C$10,MATCH($I57,'Konstanten'!$A$6:$A$10,1))),INDEX('Konstanten'!$C$6:$C$10,MATCH($I57,'Konstanten'!$A$6:$A$10,1))),""))</f>
        <v/>
      </c>
      <c r="Q57" s="63">
        <f>IF(OR($B57="",$N57="",$O57="",$P57=""),"",'Konstanten'!$C$13*$O57*$P57^(1-($J57/1000)/0.075)*'Konstanten'!$C$14^'Konstanten'!$C$16*'Konstanten'!$C$15^'Konstanten'!$C$17*$N57)</f>
        <v/>
      </c>
      <c r="R57" s="64">
        <f>IF(OR($B57="",$Q57=""),"",$E57+$Q57/'Grundeinstellungen'!$J$6)</f>
        <v/>
      </c>
      <c r="S57" s="64">
        <f>IF($B57="","",IFERROR(VLOOKUP($M57,'Konstanten'!$H$6:$I$13,2,FALSE),29))</f>
        <v/>
      </c>
      <c r="T57" s="65">
        <f>IF(OR($B57="",$Q57=""),"",$Q57*$H57)</f>
        <v/>
      </c>
      <c r="U57" s="66">
        <f>IF(OR($B57="",$T57=""),"",$T57-$F57)</f>
        <v/>
      </c>
      <c r="V57" s="67">
        <f>IF(OR($B57="",$T57=""),"",IFERROR($T57/$F57,""))</f>
        <v/>
      </c>
      <c r="W57" s="65">
        <f>IF(OR($B57="",$H57=""),"",'Grundeinstellungen'!$J$13*$H57)</f>
        <v/>
      </c>
      <c r="X57" s="65">
        <f>IF(OR($B57="",$T57=""),"",MIN($T57,$F57)+$W57)</f>
        <v/>
      </c>
      <c r="Y57" s="68">
        <f>IF($B57="","",IFERROR($H57/($J57/1000),""))</f>
        <v/>
      </c>
      <c r="Z57" s="68">
        <f>IF($B57="","",IFERROR(2*$L57*$K57,""))</f>
        <v/>
      </c>
      <c r="AA57" s="68">
        <f>IF(OR($B57="",$Y57="",$Z57=""),"",$Y57+$Z57)</f>
        <v/>
      </c>
      <c r="AB57" s="68">
        <f>IF(OR($B57="",$AA57=""),"",IFERROR($AA57/$K57,""))</f>
        <v/>
      </c>
      <c r="AC57" s="69">
        <f>IF(OR($B57="",$X57=""),"",IFERROR(($X57/$K57)/('Grundeinstellungen'!$C$16*('Grundeinstellungen'!$C$6-'Grundeinstellungen'!$C$7))*3600,""))</f>
        <v/>
      </c>
      <c r="AD57" s="70">
        <f>IF(OR($B57="",$AC57=""),"",$AC57/'Grundeinstellungen'!$C$15*1000)</f>
        <v/>
      </c>
      <c r="AE57" s="71">
        <f>IF(OR($B57="",$AC57=""),"",IFERROR($AC57/3600/'Grundeinstellungen'!$C$15/'Grundeinstellungen'!$J$22,""))</f>
        <v/>
      </c>
      <c r="AF57" s="72">
        <f>IF(OR($B57="",$AE57=""),"",IFERROR($AE57*'Grundeinstellungen'!$J$21/'Grundeinstellungen'!$C$17,""))</f>
        <v/>
      </c>
      <c r="AG57" s="73">
        <f>IF(OR($B57="",$AF57=""),"",IF($AF57&lt;2300,"laminar",IF($AF57&lt;4000,"Übergangsbereich","turbulent")))</f>
        <v/>
      </c>
      <c r="AH57" s="74">
        <f>IF(OR($B57="",$AF57=""),"",IF($AF57&lt;2300,64/$AF57,0.316/$AF57^0.25))</f>
        <v/>
      </c>
      <c r="AI57" s="75">
        <f>IF(OR($B57="",$AH57="",$AB57=""),"",IFERROR($AH57*($AB57/'Grundeinstellungen'!$J$21)*('Grundeinstellungen'!$C$15/2)*$AE57^2,""))</f>
        <v/>
      </c>
      <c r="AJ57" s="76">
        <f>IF(OR($B57="",$AI57="",$AB57=""),"",IFERROR($AI57/$AB57,""))</f>
        <v/>
      </c>
      <c r="AK57" s="75">
        <f>IF(OR($B57="",$AI57=""),"",$AI57*(1+'Grundeinstellungen'!$C$24)+'Grundeinstellungen'!$C$25)</f>
        <v/>
      </c>
    </row>
    <row r="58">
      <c r="A58" s="51" t="n"/>
      <c r="B58" s="51" t="n"/>
      <c r="C58" s="51" t="n"/>
      <c r="D58" s="52" t="n"/>
      <c r="E58" s="53" t="n"/>
      <c r="F58" s="54" t="n"/>
      <c r="G58" s="55">
        <f>IF($B58="","",IFERROR($F58/$D58,""))</f>
        <v/>
      </c>
      <c r="H58" s="52" t="n"/>
      <c r="I58" s="56" t="n"/>
      <c r="J58" s="57" t="n"/>
      <c r="K58" s="58" t="n"/>
      <c r="L58" s="59" t="n"/>
      <c r="M58" s="60" t="n"/>
      <c r="N58" s="61">
        <f>IF($B58="","",IFERROR(('Grundeinstellungen'!$C$6-'Grundeinstellungen'!$C$7)/LN(('Grundeinstellungen'!$C$6-$E58)/('Grundeinstellungen'!$C$7-$E58)),""))</f>
        <v/>
      </c>
      <c r="O58" s="62">
        <f>IF($B58="","",IFERROR(IFERROR(INDEX('Konstanten'!$B$6:$B$10,MATCH($I58,'Konstanten'!$A$6:$A$10,1))+($I58-INDEX('Konstanten'!$A$6:$A$10,MATCH($I58,'Konstanten'!$A$6:$A$10,1)))/(INDEX('Konstanten'!$A$6:$A$10,MATCH($I58,'Konstanten'!$A$6:$A$10,1)+1)-INDEX('Konstanten'!$A$6:$A$10,MATCH($I58,'Konstanten'!$A$6:$A$10,1)))*(INDEX('Konstanten'!$B$6:$B$10,MATCH($I58,'Konstanten'!$A$6:$A$10,1)+1)-INDEX('Konstanten'!$B$6:$B$10,MATCH($I58,'Konstanten'!$A$6:$A$10,1))),INDEX('Konstanten'!$B$6:$B$10,MATCH($I58,'Konstanten'!$A$6:$A$10,1))),""))</f>
        <v/>
      </c>
      <c r="P58" s="62">
        <f>IF($B58="","",IFERROR(IFERROR(INDEX('Konstanten'!$C$6:$C$10,MATCH($I58,'Konstanten'!$A$6:$A$10,1))+($I58-INDEX('Konstanten'!$A$6:$A$10,MATCH($I58,'Konstanten'!$A$6:$A$10,1)))/(INDEX('Konstanten'!$A$6:$A$10,MATCH($I58,'Konstanten'!$A$6:$A$10,1)+1)-INDEX('Konstanten'!$A$6:$A$10,MATCH($I58,'Konstanten'!$A$6:$A$10,1)))*(INDEX('Konstanten'!$C$6:$C$10,MATCH($I58,'Konstanten'!$A$6:$A$10,1)+1)-INDEX('Konstanten'!$C$6:$C$10,MATCH($I58,'Konstanten'!$A$6:$A$10,1))),INDEX('Konstanten'!$C$6:$C$10,MATCH($I58,'Konstanten'!$A$6:$A$10,1))),""))</f>
        <v/>
      </c>
      <c r="Q58" s="63">
        <f>IF(OR($B58="",$N58="",$O58="",$P58=""),"",'Konstanten'!$C$13*$O58*$P58^(1-($J58/1000)/0.075)*'Konstanten'!$C$14^'Konstanten'!$C$16*'Konstanten'!$C$15^'Konstanten'!$C$17*$N58)</f>
        <v/>
      </c>
      <c r="R58" s="64">
        <f>IF(OR($B58="",$Q58=""),"",$E58+$Q58/'Grundeinstellungen'!$J$6)</f>
        <v/>
      </c>
      <c r="S58" s="64">
        <f>IF($B58="","",IFERROR(VLOOKUP($M58,'Konstanten'!$H$6:$I$13,2,FALSE),29))</f>
        <v/>
      </c>
      <c r="T58" s="65">
        <f>IF(OR($B58="",$Q58=""),"",$Q58*$H58)</f>
        <v/>
      </c>
      <c r="U58" s="66">
        <f>IF(OR($B58="",$T58=""),"",$T58-$F58)</f>
        <v/>
      </c>
      <c r="V58" s="67">
        <f>IF(OR($B58="",$T58=""),"",IFERROR($T58/$F58,""))</f>
        <v/>
      </c>
      <c r="W58" s="65">
        <f>IF(OR($B58="",$H58=""),"",'Grundeinstellungen'!$J$13*$H58)</f>
        <v/>
      </c>
      <c r="X58" s="65">
        <f>IF(OR($B58="",$T58=""),"",MIN($T58,$F58)+$W58)</f>
        <v/>
      </c>
      <c r="Y58" s="68">
        <f>IF($B58="","",IFERROR($H58/($J58/1000),""))</f>
        <v/>
      </c>
      <c r="Z58" s="68">
        <f>IF($B58="","",IFERROR(2*$L58*$K58,""))</f>
        <v/>
      </c>
      <c r="AA58" s="68">
        <f>IF(OR($B58="",$Y58="",$Z58=""),"",$Y58+$Z58)</f>
        <v/>
      </c>
      <c r="AB58" s="68">
        <f>IF(OR($B58="",$AA58=""),"",IFERROR($AA58/$K58,""))</f>
        <v/>
      </c>
      <c r="AC58" s="69">
        <f>IF(OR($B58="",$X58=""),"",IFERROR(($X58/$K58)/('Grundeinstellungen'!$C$16*('Grundeinstellungen'!$C$6-'Grundeinstellungen'!$C$7))*3600,""))</f>
        <v/>
      </c>
      <c r="AD58" s="70">
        <f>IF(OR($B58="",$AC58=""),"",$AC58/'Grundeinstellungen'!$C$15*1000)</f>
        <v/>
      </c>
      <c r="AE58" s="71">
        <f>IF(OR($B58="",$AC58=""),"",IFERROR($AC58/3600/'Grundeinstellungen'!$C$15/'Grundeinstellungen'!$J$22,""))</f>
        <v/>
      </c>
      <c r="AF58" s="72">
        <f>IF(OR($B58="",$AE58=""),"",IFERROR($AE58*'Grundeinstellungen'!$J$21/'Grundeinstellungen'!$C$17,""))</f>
        <v/>
      </c>
      <c r="AG58" s="73">
        <f>IF(OR($B58="",$AF58=""),"",IF($AF58&lt;2300,"laminar",IF($AF58&lt;4000,"Übergangsbereich","turbulent")))</f>
        <v/>
      </c>
      <c r="AH58" s="74">
        <f>IF(OR($B58="",$AF58=""),"",IF($AF58&lt;2300,64/$AF58,0.316/$AF58^0.25))</f>
        <v/>
      </c>
      <c r="AI58" s="75">
        <f>IF(OR($B58="",$AH58="",$AB58=""),"",IFERROR($AH58*($AB58/'Grundeinstellungen'!$J$21)*('Grundeinstellungen'!$C$15/2)*$AE58^2,""))</f>
        <v/>
      </c>
      <c r="AJ58" s="76">
        <f>IF(OR($B58="",$AI58="",$AB58=""),"",IFERROR($AI58/$AB58,""))</f>
        <v/>
      </c>
      <c r="AK58" s="75">
        <f>IF(OR($B58="",$AI58=""),"",$AI58*(1+'Grundeinstellungen'!$C$24)+'Grundeinstellungen'!$C$25)</f>
        <v/>
      </c>
    </row>
    <row r="59">
      <c r="A59" s="51" t="n"/>
      <c r="B59" s="51" t="n"/>
      <c r="C59" s="51" t="n"/>
      <c r="D59" s="52" t="n"/>
      <c r="E59" s="53" t="n"/>
      <c r="F59" s="54" t="n"/>
      <c r="G59" s="55">
        <f>IF($B59="","",IFERROR($F59/$D59,""))</f>
        <v/>
      </c>
      <c r="H59" s="52" t="n"/>
      <c r="I59" s="56" t="n"/>
      <c r="J59" s="57" t="n"/>
      <c r="K59" s="58" t="n"/>
      <c r="L59" s="59" t="n"/>
      <c r="M59" s="60" t="n"/>
      <c r="N59" s="61">
        <f>IF($B59="","",IFERROR(('Grundeinstellungen'!$C$6-'Grundeinstellungen'!$C$7)/LN(('Grundeinstellungen'!$C$6-$E59)/('Grundeinstellungen'!$C$7-$E59)),""))</f>
        <v/>
      </c>
      <c r="O59" s="62">
        <f>IF($B59="","",IFERROR(IFERROR(INDEX('Konstanten'!$B$6:$B$10,MATCH($I59,'Konstanten'!$A$6:$A$10,1))+($I59-INDEX('Konstanten'!$A$6:$A$10,MATCH($I59,'Konstanten'!$A$6:$A$10,1)))/(INDEX('Konstanten'!$A$6:$A$10,MATCH($I59,'Konstanten'!$A$6:$A$10,1)+1)-INDEX('Konstanten'!$A$6:$A$10,MATCH($I59,'Konstanten'!$A$6:$A$10,1)))*(INDEX('Konstanten'!$B$6:$B$10,MATCH($I59,'Konstanten'!$A$6:$A$10,1)+1)-INDEX('Konstanten'!$B$6:$B$10,MATCH($I59,'Konstanten'!$A$6:$A$10,1))),INDEX('Konstanten'!$B$6:$B$10,MATCH($I59,'Konstanten'!$A$6:$A$10,1))),""))</f>
        <v/>
      </c>
      <c r="P59" s="62">
        <f>IF($B59="","",IFERROR(IFERROR(INDEX('Konstanten'!$C$6:$C$10,MATCH($I59,'Konstanten'!$A$6:$A$10,1))+($I59-INDEX('Konstanten'!$A$6:$A$10,MATCH($I59,'Konstanten'!$A$6:$A$10,1)))/(INDEX('Konstanten'!$A$6:$A$10,MATCH($I59,'Konstanten'!$A$6:$A$10,1)+1)-INDEX('Konstanten'!$A$6:$A$10,MATCH($I59,'Konstanten'!$A$6:$A$10,1)))*(INDEX('Konstanten'!$C$6:$C$10,MATCH($I59,'Konstanten'!$A$6:$A$10,1)+1)-INDEX('Konstanten'!$C$6:$C$10,MATCH($I59,'Konstanten'!$A$6:$A$10,1))),INDEX('Konstanten'!$C$6:$C$10,MATCH($I59,'Konstanten'!$A$6:$A$10,1))),""))</f>
        <v/>
      </c>
      <c r="Q59" s="63">
        <f>IF(OR($B59="",$N59="",$O59="",$P59=""),"",'Konstanten'!$C$13*$O59*$P59^(1-($J59/1000)/0.075)*'Konstanten'!$C$14^'Konstanten'!$C$16*'Konstanten'!$C$15^'Konstanten'!$C$17*$N59)</f>
        <v/>
      </c>
      <c r="R59" s="64">
        <f>IF(OR($B59="",$Q59=""),"",$E59+$Q59/'Grundeinstellungen'!$J$6)</f>
        <v/>
      </c>
      <c r="S59" s="64">
        <f>IF($B59="","",IFERROR(VLOOKUP($M59,'Konstanten'!$H$6:$I$13,2,FALSE),29))</f>
        <v/>
      </c>
      <c r="T59" s="65">
        <f>IF(OR($B59="",$Q59=""),"",$Q59*$H59)</f>
        <v/>
      </c>
      <c r="U59" s="66">
        <f>IF(OR($B59="",$T59=""),"",$T59-$F59)</f>
        <v/>
      </c>
      <c r="V59" s="67">
        <f>IF(OR($B59="",$T59=""),"",IFERROR($T59/$F59,""))</f>
        <v/>
      </c>
      <c r="W59" s="65">
        <f>IF(OR($B59="",$H59=""),"",'Grundeinstellungen'!$J$13*$H59)</f>
        <v/>
      </c>
      <c r="X59" s="65">
        <f>IF(OR($B59="",$T59=""),"",MIN($T59,$F59)+$W59)</f>
        <v/>
      </c>
      <c r="Y59" s="68">
        <f>IF($B59="","",IFERROR($H59/($J59/1000),""))</f>
        <v/>
      </c>
      <c r="Z59" s="68">
        <f>IF($B59="","",IFERROR(2*$L59*$K59,""))</f>
        <v/>
      </c>
      <c r="AA59" s="68">
        <f>IF(OR($B59="",$Y59="",$Z59=""),"",$Y59+$Z59)</f>
        <v/>
      </c>
      <c r="AB59" s="68">
        <f>IF(OR($B59="",$AA59=""),"",IFERROR($AA59/$K59,""))</f>
        <v/>
      </c>
      <c r="AC59" s="69">
        <f>IF(OR($B59="",$X59=""),"",IFERROR(($X59/$K59)/('Grundeinstellungen'!$C$16*('Grundeinstellungen'!$C$6-'Grundeinstellungen'!$C$7))*3600,""))</f>
        <v/>
      </c>
      <c r="AD59" s="70">
        <f>IF(OR($B59="",$AC59=""),"",$AC59/'Grundeinstellungen'!$C$15*1000)</f>
        <v/>
      </c>
      <c r="AE59" s="71">
        <f>IF(OR($B59="",$AC59=""),"",IFERROR($AC59/3600/'Grundeinstellungen'!$C$15/'Grundeinstellungen'!$J$22,""))</f>
        <v/>
      </c>
      <c r="AF59" s="72">
        <f>IF(OR($B59="",$AE59=""),"",IFERROR($AE59*'Grundeinstellungen'!$J$21/'Grundeinstellungen'!$C$17,""))</f>
        <v/>
      </c>
      <c r="AG59" s="73">
        <f>IF(OR($B59="",$AF59=""),"",IF($AF59&lt;2300,"laminar",IF($AF59&lt;4000,"Übergangsbereich","turbulent")))</f>
        <v/>
      </c>
      <c r="AH59" s="74">
        <f>IF(OR($B59="",$AF59=""),"",IF($AF59&lt;2300,64/$AF59,0.316/$AF59^0.25))</f>
        <v/>
      </c>
      <c r="AI59" s="75">
        <f>IF(OR($B59="",$AH59="",$AB59=""),"",IFERROR($AH59*($AB59/'Grundeinstellungen'!$J$21)*('Grundeinstellungen'!$C$15/2)*$AE59^2,""))</f>
        <v/>
      </c>
      <c r="AJ59" s="76">
        <f>IF(OR($B59="",$AI59="",$AB59=""),"",IFERROR($AI59/$AB59,""))</f>
        <v/>
      </c>
      <c r="AK59" s="75">
        <f>IF(OR($B59="",$AI59=""),"",$AI59*(1+'Grundeinstellungen'!$C$24)+'Grundeinstellungen'!$C$25)</f>
        <v/>
      </c>
    </row>
    <row r="60">
      <c r="A60" s="51" t="n"/>
      <c r="B60" s="51" t="n"/>
      <c r="C60" s="51" t="n"/>
      <c r="D60" s="52" t="n"/>
      <c r="E60" s="53" t="n"/>
      <c r="F60" s="54" t="n"/>
      <c r="G60" s="55">
        <f>IF($B60="","",IFERROR($F60/$D60,""))</f>
        <v/>
      </c>
      <c r="H60" s="52" t="n"/>
      <c r="I60" s="56" t="n"/>
      <c r="J60" s="57" t="n"/>
      <c r="K60" s="58" t="n"/>
      <c r="L60" s="59" t="n"/>
      <c r="M60" s="60" t="n"/>
      <c r="N60" s="61">
        <f>IF($B60="","",IFERROR(('Grundeinstellungen'!$C$6-'Grundeinstellungen'!$C$7)/LN(('Grundeinstellungen'!$C$6-$E60)/('Grundeinstellungen'!$C$7-$E60)),""))</f>
        <v/>
      </c>
      <c r="O60" s="62">
        <f>IF($B60="","",IFERROR(IFERROR(INDEX('Konstanten'!$B$6:$B$10,MATCH($I60,'Konstanten'!$A$6:$A$10,1))+($I60-INDEX('Konstanten'!$A$6:$A$10,MATCH($I60,'Konstanten'!$A$6:$A$10,1)))/(INDEX('Konstanten'!$A$6:$A$10,MATCH($I60,'Konstanten'!$A$6:$A$10,1)+1)-INDEX('Konstanten'!$A$6:$A$10,MATCH($I60,'Konstanten'!$A$6:$A$10,1)))*(INDEX('Konstanten'!$B$6:$B$10,MATCH($I60,'Konstanten'!$A$6:$A$10,1)+1)-INDEX('Konstanten'!$B$6:$B$10,MATCH($I60,'Konstanten'!$A$6:$A$10,1))),INDEX('Konstanten'!$B$6:$B$10,MATCH($I60,'Konstanten'!$A$6:$A$10,1))),""))</f>
        <v/>
      </c>
      <c r="P60" s="62">
        <f>IF($B60="","",IFERROR(IFERROR(INDEX('Konstanten'!$C$6:$C$10,MATCH($I60,'Konstanten'!$A$6:$A$10,1))+($I60-INDEX('Konstanten'!$A$6:$A$10,MATCH($I60,'Konstanten'!$A$6:$A$10,1)))/(INDEX('Konstanten'!$A$6:$A$10,MATCH($I60,'Konstanten'!$A$6:$A$10,1)+1)-INDEX('Konstanten'!$A$6:$A$10,MATCH($I60,'Konstanten'!$A$6:$A$10,1)))*(INDEX('Konstanten'!$C$6:$C$10,MATCH($I60,'Konstanten'!$A$6:$A$10,1)+1)-INDEX('Konstanten'!$C$6:$C$10,MATCH($I60,'Konstanten'!$A$6:$A$10,1))),INDEX('Konstanten'!$C$6:$C$10,MATCH($I60,'Konstanten'!$A$6:$A$10,1))),""))</f>
        <v/>
      </c>
      <c r="Q60" s="63">
        <f>IF(OR($B60="",$N60="",$O60="",$P60=""),"",'Konstanten'!$C$13*$O60*$P60^(1-($J60/1000)/0.075)*'Konstanten'!$C$14^'Konstanten'!$C$16*'Konstanten'!$C$15^'Konstanten'!$C$17*$N60)</f>
        <v/>
      </c>
      <c r="R60" s="64">
        <f>IF(OR($B60="",$Q60=""),"",$E60+$Q60/'Grundeinstellungen'!$J$6)</f>
        <v/>
      </c>
      <c r="S60" s="64">
        <f>IF($B60="","",IFERROR(VLOOKUP($M60,'Konstanten'!$H$6:$I$13,2,FALSE),29))</f>
        <v/>
      </c>
      <c r="T60" s="65">
        <f>IF(OR($B60="",$Q60=""),"",$Q60*$H60)</f>
        <v/>
      </c>
      <c r="U60" s="66">
        <f>IF(OR($B60="",$T60=""),"",$T60-$F60)</f>
        <v/>
      </c>
      <c r="V60" s="67">
        <f>IF(OR($B60="",$T60=""),"",IFERROR($T60/$F60,""))</f>
        <v/>
      </c>
      <c r="W60" s="65">
        <f>IF(OR($B60="",$H60=""),"",'Grundeinstellungen'!$J$13*$H60)</f>
        <v/>
      </c>
      <c r="X60" s="65">
        <f>IF(OR($B60="",$T60=""),"",MIN($T60,$F60)+$W60)</f>
        <v/>
      </c>
      <c r="Y60" s="68">
        <f>IF($B60="","",IFERROR($H60/($J60/1000),""))</f>
        <v/>
      </c>
      <c r="Z60" s="68">
        <f>IF($B60="","",IFERROR(2*$L60*$K60,""))</f>
        <v/>
      </c>
      <c r="AA60" s="68">
        <f>IF(OR($B60="",$Y60="",$Z60=""),"",$Y60+$Z60)</f>
        <v/>
      </c>
      <c r="AB60" s="68">
        <f>IF(OR($B60="",$AA60=""),"",IFERROR($AA60/$K60,""))</f>
        <v/>
      </c>
      <c r="AC60" s="69">
        <f>IF(OR($B60="",$X60=""),"",IFERROR(($X60/$K60)/('Grundeinstellungen'!$C$16*('Grundeinstellungen'!$C$6-'Grundeinstellungen'!$C$7))*3600,""))</f>
        <v/>
      </c>
      <c r="AD60" s="70">
        <f>IF(OR($B60="",$AC60=""),"",$AC60/'Grundeinstellungen'!$C$15*1000)</f>
        <v/>
      </c>
      <c r="AE60" s="71">
        <f>IF(OR($B60="",$AC60=""),"",IFERROR($AC60/3600/'Grundeinstellungen'!$C$15/'Grundeinstellungen'!$J$22,""))</f>
        <v/>
      </c>
      <c r="AF60" s="72">
        <f>IF(OR($B60="",$AE60=""),"",IFERROR($AE60*'Grundeinstellungen'!$J$21/'Grundeinstellungen'!$C$17,""))</f>
        <v/>
      </c>
      <c r="AG60" s="73">
        <f>IF(OR($B60="",$AF60=""),"",IF($AF60&lt;2300,"laminar",IF($AF60&lt;4000,"Übergangsbereich","turbulent")))</f>
        <v/>
      </c>
      <c r="AH60" s="74">
        <f>IF(OR($B60="",$AF60=""),"",IF($AF60&lt;2300,64/$AF60,0.316/$AF60^0.25))</f>
        <v/>
      </c>
      <c r="AI60" s="75">
        <f>IF(OR($B60="",$AH60="",$AB60=""),"",IFERROR($AH60*($AB60/'Grundeinstellungen'!$J$21)*('Grundeinstellungen'!$C$15/2)*$AE60^2,""))</f>
        <v/>
      </c>
      <c r="AJ60" s="76">
        <f>IF(OR($B60="",$AI60="",$AB60=""),"",IFERROR($AI60/$AB60,""))</f>
        <v/>
      </c>
      <c r="AK60" s="75">
        <f>IF(OR($B60="",$AI60=""),"",$AI60*(1+'Grundeinstellungen'!$C$24)+'Grundeinstellungen'!$C$25)</f>
        <v/>
      </c>
    </row>
    <row r="61">
      <c r="A61" s="51" t="n"/>
      <c r="B61" s="51" t="n"/>
      <c r="C61" s="51" t="n"/>
      <c r="D61" s="52" t="n"/>
      <c r="E61" s="53" t="n"/>
      <c r="F61" s="54" t="n"/>
      <c r="G61" s="55">
        <f>IF($B61="","",IFERROR($F61/$D61,""))</f>
        <v/>
      </c>
      <c r="H61" s="52" t="n"/>
      <c r="I61" s="56" t="n"/>
      <c r="J61" s="57" t="n"/>
      <c r="K61" s="58" t="n"/>
      <c r="L61" s="59" t="n"/>
      <c r="M61" s="60" t="n"/>
      <c r="N61" s="61">
        <f>IF($B61="","",IFERROR(('Grundeinstellungen'!$C$6-'Grundeinstellungen'!$C$7)/LN(('Grundeinstellungen'!$C$6-$E61)/('Grundeinstellungen'!$C$7-$E61)),""))</f>
        <v/>
      </c>
      <c r="O61" s="62">
        <f>IF($B61="","",IFERROR(IFERROR(INDEX('Konstanten'!$B$6:$B$10,MATCH($I61,'Konstanten'!$A$6:$A$10,1))+($I61-INDEX('Konstanten'!$A$6:$A$10,MATCH($I61,'Konstanten'!$A$6:$A$10,1)))/(INDEX('Konstanten'!$A$6:$A$10,MATCH($I61,'Konstanten'!$A$6:$A$10,1)+1)-INDEX('Konstanten'!$A$6:$A$10,MATCH($I61,'Konstanten'!$A$6:$A$10,1)))*(INDEX('Konstanten'!$B$6:$B$10,MATCH($I61,'Konstanten'!$A$6:$A$10,1)+1)-INDEX('Konstanten'!$B$6:$B$10,MATCH($I61,'Konstanten'!$A$6:$A$10,1))),INDEX('Konstanten'!$B$6:$B$10,MATCH($I61,'Konstanten'!$A$6:$A$10,1))),""))</f>
        <v/>
      </c>
      <c r="P61" s="62">
        <f>IF($B61="","",IFERROR(IFERROR(INDEX('Konstanten'!$C$6:$C$10,MATCH($I61,'Konstanten'!$A$6:$A$10,1))+($I61-INDEX('Konstanten'!$A$6:$A$10,MATCH($I61,'Konstanten'!$A$6:$A$10,1)))/(INDEX('Konstanten'!$A$6:$A$10,MATCH($I61,'Konstanten'!$A$6:$A$10,1)+1)-INDEX('Konstanten'!$A$6:$A$10,MATCH($I61,'Konstanten'!$A$6:$A$10,1)))*(INDEX('Konstanten'!$C$6:$C$10,MATCH($I61,'Konstanten'!$A$6:$A$10,1)+1)-INDEX('Konstanten'!$C$6:$C$10,MATCH($I61,'Konstanten'!$A$6:$A$10,1))),INDEX('Konstanten'!$C$6:$C$10,MATCH($I61,'Konstanten'!$A$6:$A$10,1))),""))</f>
        <v/>
      </c>
      <c r="Q61" s="63">
        <f>IF(OR($B61="",$N61="",$O61="",$P61=""),"",'Konstanten'!$C$13*$O61*$P61^(1-($J61/1000)/0.075)*'Konstanten'!$C$14^'Konstanten'!$C$16*'Konstanten'!$C$15^'Konstanten'!$C$17*$N61)</f>
        <v/>
      </c>
      <c r="R61" s="64">
        <f>IF(OR($B61="",$Q61=""),"",$E61+$Q61/'Grundeinstellungen'!$J$6)</f>
        <v/>
      </c>
      <c r="S61" s="64">
        <f>IF($B61="","",IFERROR(VLOOKUP($M61,'Konstanten'!$H$6:$I$13,2,FALSE),29))</f>
        <v/>
      </c>
      <c r="T61" s="65">
        <f>IF(OR($B61="",$Q61=""),"",$Q61*$H61)</f>
        <v/>
      </c>
      <c r="U61" s="66">
        <f>IF(OR($B61="",$T61=""),"",$T61-$F61)</f>
        <v/>
      </c>
      <c r="V61" s="67">
        <f>IF(OR($B61="",$T61=""),"",IFERROR($T61/$F61,""))</f>
        <v/>
      </c>
      <c r="W61" s="65">
        <f>IF(OR($B61="",$H61=""),"",'Grundeinstellungen'!$J$13*$H61)</f>
        <v/>
      </c>
      <c r="X61" s="65">
        <f>IF(OR($B61="",$T61=""),"",MIN($T61,$F61)+$W61)</f>
        <v/>
      </c>
      <c r="Y61" s="68">
        <f>IF($B61="","",IFERROR($H61/($J61/1000),""))</f>
        <v/>
      </c>
      <c r="Z61" s="68">
        <f>IF($B61="","",IFERROR(2*$L61*$K61,""))</f>
        <v/>
      </c>
      <c r="AA61" s="68">
        <f>IF(OR($B61="",$Y61="",$Z61=""),"",$Y61+$Z61)</f>
        <v/>
      </c>
      <c r="AB61" s="68">
        <f>IF(OR($B61="",$AA61=""),"",IFERROR($AA61/$K61,""))</f>
        <v/>
      </c>
      <c r="AC61" s="69">
        <f>IF(OR($B61="",$X61=""),"",IFERROR(($X61/$K61)/('Grundeinstellungen'!$C$16*('Grundeinstellungen'!$C$6-'Grundeinstellungen'!$C$7))*3600,""))</f>
        <v/>
      </c>
      <c r="AD61" s="70">
        <f>IF(OR($B61="",$AC61=""),"",$AC61/'Grundeinstellungen'!$C$15*1000)</f>
        <v/>
      </c>
      <c r="AE61" s="71">
        <f>IF(OR($B61="",$AC61=""),"",IFERROR($AC61/3600/'Grundeinstellungen'!$C$15/'Grundeinstellungen'!$J$22,""))</f>
        <v/>
      </c>
      <c r="AF61" s="72">
        <f>IF(OR($B61="",$AE61=""),"",IFERROR($AE61*'Grundeinstellungen'!$J$21/'Grundeinstellungen'!$C$17,""))</f>
        <v/>
      </c>
      <c r="AG61" s="73">
        <f>IF(OR($B61="",$AF61=""),"",IF($AF61&lt;2300,"laminar",IF($AF61&lt;4000,"Übergangsbereich","turbulent")))</f>
        <v/>
      </c>
      <c r="AH61" s="74">
        <f>IF(OR($B61="",$AF61=""),"",IF($AF61&lt;2300,64/$AF61,0.316/$AF61^0.25))</f>
        <v/>
      </c>
      <c r="AI61" s="75">
        <f>IF(OR($B61="",$AH61="",$AB61=""),"",IFERROR($AH61*($AB61/'Grundeinstellungen'!$J$21)*('Grundeinstellungen'!$C$15/2)*$AE61^2,""))</f>
        <v/>
      </c>
      <c r="AJ61" s="76">
        <f>IF(OR($B61="",$AI61="",$AB61=""),"",IFERROR($AI61/$AB61,""))</f>
        <v/>
      </c>
      <c r="AK61" s="75">
        <f>IF(OR($B61="",$AI61=""),"",$AI61*(1+'Grundeinstellungen'!$C$24)+'Grundeinstellungen'!$C$25)</f>
        <v/>
      </c>
    </row>
    <row r="62">
      <c r="A62" s="51" t="n"/>
      <c r="B62" s="51" t="n"/>
      <c r="C62" s="51" t="n"/>
      <c r="D62" s="52" t="n"/>
      <c r="E62" s="53" t="n"/>
      <c r="F62" s="54" t="n"/>
      <c r="G62" s="55">
        <f>IF($B62="","",IFERROR($F62/$D62,""))</f>
        <v/>
      </c>
      <c r="H62" s="52" t="n"/>
      <c r="I62" s="56" t="n"/>
      <c r="J62" s="57" t="n"/>
      <c r="K62" s="58" t="n"/>
      <c r="L62" s="59" t="n"/>
      <c r="M62" s="60" t="n"/>
      <c r="N62" s="61">
        <f>IF($B62="","",IFERROR(('Grundeinstellungen'!$C$6-'Grundeinstellungen'!$C$7)/LN(('Grundeinstellungen'!$C$6-$E62)/('Grundeinstellungen'!$C$7-$E62)),""))</f>
        <v/>
      </c>
      <c r="O62" s="62">
        <f>IF($B62="","",IFERROR(IFERROR(INDEX('Konstanten'!$B$6:$B$10,MATCH($I62,'Konstanten'!$A$6:$A$10,1))+($I62-INDEX('Konstanten'!$A$6:$A$10,MATCH($I62,'Konstanten'!$A$6:$A$10,1)))/(INDEX('Konstanten'!$A$6:$A$10,MATCH($I62,'Konstanten'!$A$6:$A$10,1)+1)-INDEX('Konstanten'!$A$6:$A$10,MATCH($I62,'Konstanten'!$A$6:$A$10,1)))*(INDEX('Konstanten'!$B$6:$B$10,MATCH($I62,'Konstanten'!$A$6:$A$10,1)+1)-INDEX('Konstanten'!$B$6:$B$10,MATCH($I62,'Konstanten'!$A$6:$A$10,1))),INDEX('Konstanten'!$B$6:$B$10,MATCH($I62,'Konstanten'!$A$6:$A$10,1))),""))</f>
        <v/>
      </c>
      <c r="P62" s="62">
        <f>IF($B62="","",IFERROR(IFERROR(INDEX('Konstanten'!$C$6:$C$10,MATCH($I62,'Konstanten'!$A$6:$A$10,1))+($I62-INDEX('Konstanten'!$A$6:$A$10,MATCH($I62,'Konstanten'!$A$6:$A$10,1)))/(INDEX('Konstanten'!$A$6:$A$10,MATCH($I62,'Konstanten'!$A$6:$A$10,1)+1)-INDEX('Konstanten'!$A$6:$A$10,MATCH($I62,'Konstanten'!$A$6:$A$10,1)))*(INDEX('Konstanten'!$C$6:$C$10,MATCH($I62,'Konstanten'!$A$6:$A$10,1)+1)-INDEX('Konstanten'!$C$6:$C$10,MATCH($I62,'Konstanten'!$A$6:$A$10,1))),INDEX('Konstanten'!$C$6:$C$10,MATCH($I62,'Konstanten'!$A$6:$A$10,1))),""))</f>
        <v/>
      </c>
      <c r="Q62" s="63">
        <f>IF(OR($B62="",$N62="",$O62="",$P62=""),"",'Konstanten'!$C$13*$O62*$P62^(1-($J62/1000)/0.075)*'Konstanten'!$C$14^'Konstanten'!$C$16*'Konstanten'!$C$15^'Konstanten'!$C$17*$N62)</f>
        <v/>
      </c>
      <c r="R62" s="64">
        <f>IF(OR($B62="",$Q62=""),"",$E62+$Q62/'Grundeinstellungen'!$J$6)</f>
        <v/>
      </c>
      <c r="S62" s="64">
        <f>IF($B62="","",IFERROR(VLOOKUP($M62,'Konstanten'!$H$6:$I$13,2,FALSE),29))</f>
        <v/>
      </c>
      <c r="T62" s="65">
        <f>IF(OR($B62="",$Q62=""),"",$Q62*$H62)</f>
        <v/>
      </c>
      <c r="U62" s="66">
        <f>IF(OR($B62="",$T62=""),"",$T62-$F62)</f>
        <v/>
      </c>
      <c r="V62" s="67">
        <f>IF(OR($B62="",$T62=""),"",IFERROR($T62/$F62,""))</f>
        <v/>
      </c>
      <c r="W62" s="65">
        <f>IF(OR($B62="",$H62=""),"",'Grundeinstellungen'!$J$13*$H62)</f>
        <v/>
      </c>
      <c r="X62" s="65">
        <f>IF(OR($B62="",$T62=""),"",MIN($T62,$F62)+$W62)</f>
        <v/>
      </c>
      <c r="Y62" s="68">
        <f>IF($B62="","",IFERROR($H62/($J62/1000),""))</f>
        <v/>
      </c>
      <c r="Z62" s="68">
        <f>IF($B62="","",IFERROR(2*$L62*$K62,""))</f>
        <v/>
      </c>
      <c r="AA62" s="68">
        <f>IF(OR($B62="",$Y62="",$Z62=""),"",$Y62+$Z62)</f>
        <v/>
      </c>
      <c r="AB62" s="68">
        <f>IF(OR($B62="",$AA62=""),"",IFERROR($AA62/$K62,""))</f>
        <v/>
      </c>
      <c r="AC62" s="69">
        <f>IF(OR($B62="",$X62=""),"",IFERROR(($X62/$K62)/('Grundeinstellungen'!$C$16*('Grundeinstellungen'!$C$6-'Grundeinstellungen'!$C$7))*3600,""))</f>
        <v/>
      </c>
      <c r="AD62" s="70">
        <f>IF(OR($B62="",$AC62=""),"",$AC62/'Grundeinstellungen'!$C$15*1000)</f>
        <v/>
      </c>
      <c r="AE62" s="71">
        <f>IF(OR($B62="",$AC62=""),"",IFERROR($AC62/3600/'Grundeinstellungen'!$C$15/'Grundeinstellungen'!$J$22,""))</f>
        <v/>
      </c>
      <c r="AF62" s="72">
        <f>IF(OR($B62="",$AE62=""),"",IFERROR($AE62*'Grundeinstellungen'!$J$21/'Grundeinstellungen'!$C$17,""))</f>
        <v/>
      </c>
      <c r="AG62" s="73">
        <f>IF(OR($B62="",$AF62=""),"",IF($AF62&lt;2300,"laminar",IF($AF62&lt;4000,"Übergangsbereich","turbulent")))</f>
        <v/>
      </c>
      <c r="AH62" s="74">
        <f>IF(OR($B62="",$AF62=""),"",IF($AF62&lt;2300,64/$AF62,0.316/$AF62^0.25))</f>
        <v/>
      </c>
      <c r="AI62" s="75">
        <f>IF(OR($B62="",$AH62="",$AB62=""),"",IFERROR($AH62*($AB62/'Grundeinstellungen'!$J$21)*('Grundeinstellungen'!$C$15/2)*$AE62^2,""))</f>
        <v/>
      </c>
      <c r="AJ62" s="76">
        <f>IF(OR($B62="",$AI62="",$AB62=""),"",IFERROR($AI62/$AB62,""))</f>
        <v/>
      </c>
      <c r="AK62" s="75">
        <f>IF(OR($B62="",$AI62=""),"",$AI62*(1+'Grundeinstellungen'!$C$24)+'Grundeinstellungen'!$C$25)</f>
        <v/>
      </c>
    </row>
    <row r="63">
      <c r="A63" s="51" t="n"/>
      <c r="B63" s="51" t="n"/>
      <c r="C63" s="51" t="n"/>
      <c r="D63" s="52" t="n"/>
      <c r="E63" s="53" t="n"/>
      <c r="F63" s="54" t="n"/>
      <c r="G63" s="55">
        <f>IF($B63="","",IFERROR($F63/$D63,""))</f>
        <v/>
      </c>
      <c r="H63" s="52" t="n"/>
      <c r="I63" s="56" t="n"/>
      <c r="J63" s="57" t="n"/>
      <c r="K63" s="58" t="n"/>
      <c r="L63" s="59" t="n"/>
      <c r="M63" s="60" t="n"/>
      <c r="N63" s="61">
        <f>IF($B63="","",IFERROR(('Grundeinstellungen'!$C$6-'Grundeinstellungen'!$C$7)/LN(('Grundeinstellungen'!$C$6-$E63)/('Grundeinstellungen'!$C$7-$E63)),""))</f>
        <v/>
      </c>
      <c r="O63" s="62">
        <f>IF($B63="","",IFERROR(IFERROR(INDEX('Konstanten'!$B$6:$B$10,MATCH($I63,'Konstanten'!$A$6:$A$10,1))+($I63-INDEX('Konstanten'!$A$6:$A$10,MATCH($I63,'Konstanten'!$A$6:$A$10,1)))/(INDEX('Konstanten'!$A$6:$A$10,MATCH($I63,'Konstanten'!$A$6:$A$10,1)+1)-INDEX('Konstanten'!$A$6:$A$10,MATCH($I63,'Konstanten'!$A$6:$A$10,1)))*(INDEX('Konstanten'!$B$6:$B$10,MATCH($I63,'Konstanten'!$A$6:$A$10,1)+1)-INDEX('Konstanten'!$B$6:$B$10,MATCH($I63,'Konstanten'!$A$6:$A$10,1))),INDEX('Konstanten'!$B$6:$B$10,MATCH($I63,'Konstanten'!$A$6:$A$10,1))),""))</f>
        <v/>
      </c>
      <c r="P63" s="62">
        <f>IF($B63="","",IFERROR(IFERROR(INDEX('Konstanten'!$C$6:$C$10,MATCH($I63,'Konstanten'!$A$6:$A$10,1))+($I63-INDEX('Konstanten'!$A$6:$A$10,MATCH($I63,'Konstanten'!$A$6:$A$10,1)))/(INDEX('Konstanten'!$A$6:$A$10,MATCH($I63,'Konstanten'!$A$6:$A$10,1)+1)-INDEX('Konstanten'!$A$6:$A$10,MATCH($I63,'Konstanten'!$A$6:$A$10,1)))*(INDEX('Konstanten'!$C$6:$C$10,MATCH($I63,'Konstanten'!$A$6:$A$10,1)+1)-INDEX('Konstanten'!$C$6:$C$10,MATCH($I63,'Konstanten'!$A$6:$A$10,1))),INDEX('Konstanten'!$C$6:$C$10,MATCH($I63,'Konstanten'!$A$6:$A$10,1))),""))</f>
        <v/>
      </c>
      <c r="Q63" s="63">
        <f>IF(OR($B63="",$N63="",$O63="",$P63=""),"",'Konstanten'!$C$13*$O63*$P63^(1-($J63/1000)/0.075)*'Konstanten'!$C$14^'Konstanten'!$C$16*'Konstanten'!$C$15^'Konstanten'!$C$17*$N63)</f>
        <v/>
      </c>
      <c r="R63" s="64">
        <f>IF(OR($B63="",$Q63=""),"",$E63+$Q63/'Grundeinstellungen'!$J$6)</f>
        <v/>
      </c>
      <c r="S63" s="64">
        <f>IF($B63="","",IFERROR(VLOOKUP($M63,'Konstanten'!$H$6:$I$13,2,FALSE),29))</f>
        <v/>
      </c>
      <c r="T63" s="65">
        <f>IF(OR($B63="",$Q63=""),"",$Q63*$H63)</f>
        <v/>
      </c>
      <c r="U63" s="66">
        <f>IF(OR($B63="",$T63=""),"",$T63-$F63)</f>
        <v/>
      </c>
      <c r="V63" s="67">
        <f>IF(OR($B63="",$T63=""),"",IFERROR($T63/$F63,""))</f>
        <v/>
      </c>
      <c r="W63" s="65">
        <f>IF(OR($B63="",$H63=""),"",'Grundeinstellungen'!$J$13*$H63)</f>
        <v/>
      </c>
      <c r="X63" s="65">
        <f>IF(OR($B63="",$T63=""),"",MIN($T63,$F63)+$W63)</f>
        <v/>
      </c>
      <c r="Y63" s="68">
        <f>IF($B63="","",IFERROR($H63/($J63/1000),""))</f>
        <v/>
      </c>
      <c r="Z63" s="68">
        <f>IF($B63="","",IFERROR(2*$L63*$K63,""))</f>
        <v/>
      </c>
      <c r="AA63" s="68">
        <f>IF(OR($B63="",$Y63="",$Z63=""),"",$Y63+$Z63)</f>
        <v/>
      </c>
      <c r="AB63" s="68">
        <f>IF(OR($B63="",$AA63=""),"",IFERROR($AA63/$K63,""))</f>
        <v/>
      </c>
      <c r="AC63" s="69">
        <f>IF(OR($B63="",$X63=""),"",IFERROR(($X63/$K63)/('Grundeinstellungen'!$C$16*('Grundeinstellungen'!$C$6-'Grundeinstellungen'!$C$7))*3600,""))</f>
        <v/>
      </c>
      <c r="AD63" s="70">
        <f>IF(OR($B63="",$AC63=""),"",$AC63/'Grundeinstellungen'!$C$15*1000)</f>
        <v/>
      </c>
      <c r="AE63" s="71">
        <f>IF(OR($B63="",$AC63=""),"",IFERROR($AC63/3600/'Grundeinstellungen'!$C$15/'Grundeinstellungen'!$J$22,""))</f>
        <v/>
      </c>
      <c r="AF63" s="72">
        <f>IF(OR($B63="",$AE63=""),"",IFERROR($AE63*'Grundeinstellungen'!$J$21/'Grundeinstellungen'!$C$17,""))</f>
        <v/>
      </c>
      <c r="AG63" s="73">
        <f>IF(OR($B63="",$AF63=""),"",IF($AF63&lt;2300,"laminar",IF($AF63&lt;4000,"Übergangsbereich","turbulent")))</f>
        <v/>
      </c>
      <c r="AH63" s="74">
        <f>IF(OR($B63="",$AF63=""),"",IF($AF63&lt;2300,64/$AF63,0.316/$AF63^0.25))</f>
        <v/>
      </c>
      <c r="AI63" s="75">
        <f>IF(OR($B63="",$AH63="",$AB63=""),"",IFERROR($AH63*($AB63/'Grundeinstellungen'!$J$21)*('Grundeinstellungen'!$C$15/2)*$AE63^2,""))</f>
        <v/>
      </c>
      <c r="AJ63" s="76">
        <f>IF(OR($B63="",$AI63="",$AB63=""),"",IFERROR($AI63/$AB63,""))</f>
        <v/>
      </c>
      <c r="AK63" s="75">
        <f>IF(OR($B63="",$AI63=""),"",$AI63*(1+'Grundeinstellungen'!$C$24)+'Grundeinstellungen'!$C$25)</f>
        <v/>
      </c>
    </row>
    <row r="64">
      <c r="A64" s="51" t="n"/>
      <c r="B64" s="51" t="n"/>
      <c r="C64" s="51" t="n"/>
      <c r="D64" s="52" t="n"/>
      <c r="E64" s="53" t="n"/>
      <c r="F64" s="54" t="n"/>
      <c r="G64" s="55">
        <f>IF($B64="","",IFERROR($F64/$D64,""))</f>
        <v/>
      </c>
      <c r="H64" s="52" t="n"/>
      <c r="I64" s="56" t="n"/>
      <c r="J64" s="57" t="n"/>
      <c r="K64" s="58" t="n"/>
      <c r="L64" s="59" t="n"/>
      <c r="M64" s="60" t="n"/>
      <c r="N64" s="61">
        <f>IF($B64="","",IFERROR(('Grundeinstellungen'!$C$6-'Grundeinstellungen'!$C$7)/LN(('Grundeinstellungen'!$C$6-$E64)/('Grundeinstellungen'!$C$7-$E64)),""))</f>
        <v/>
      </c>
      <c r="O64" s="62">
        <f>IF($B64="","",IFERROR(IFERROR(INDEX('Konstanten'!$B$6:$B$10,MATCH($I64,'Konstanten'!$A$6:$A$10,1))+($I64-INDEX('Konstanten'!$A$6:$A$10,MATCH($I64,'Konstanten'!$A$6:$A$10,1)))/(INDEX('Konstanten'!$A$6:$A$10,MATCH($I64,'Konstanten'!$A$6:$A$10,1)+1)-INDEX('Konstanten'!$A$6:$A$10,MATCH($I64,'Konstanten'!$A$6:$A$10,1)))*(INDEX('Konstanten'!$B$6:$B$10,MATCH($I64,'Konstanten'!$A$6:$A$10,1)+1)-INDEX('Konstanten'!$B$6:$B$10,MATCH($I64,'Konstanten'!$A$6:$A$10,1))),INDEX('Konstanten'!$B$6:$B$10,MATCH($I64,'Konstanten'!$A$6:$A$10,1))),""))</f>
        <v/>
      </c>
      <c r="P64" s="62">
        <f>IF($B64="","",IFERROR(IFERROR(INDEX('Konstanten'!$C$6:$C$10,MATCH($I64,'Konstanten'!$A$6:$A$10,1))+($I64-INDEX('Konstanten'!$A$6:$A$10,MATCH($I64,'Konstanten'!$A$6:$A$10,1)))/(INDEX('Konstanten'!$A$6:$A$10,MATCH($I64,'Konstanten'!$A$6:$A$10,1)+1)-INDEX('Konstanten'!$A$6:$A$10,MATCH($I64,'Konstanten'!$A$6:$A$10,1)))*(INDEX('Konstanten'!$C$6:$C$10,MATCH($I64,'Konstanten'!$A$6:$A$10,1)+1)-INDEX('Konstanten'!$C$6:$C$10,MATCH($I64,'Konstanten'!$A$6:$A$10,1))),INDEX('Konstanten'!$C$6:$C$10,MATCH($I64,'Konstanten'!$A$6:$A$10,1))),""))</f>
        <v/>
      </c>
      <c r="Q64" s="63">
        <f>IF(OR($B64="",$N64="",$O64="",$P64=""),"",'Konstanten'!$C$13*$O64*$P64^(1-($J64/1000)/0.075)*'Konstanten'!$C$14^'Konstanten'!$C$16*'Konstanten'!$C$15^'Konstanten'!$C$17*$N64)</f>
        <v/>
      </c>
      <c r="R64" s="64">
        <f>IF(OR($B64="",$Q64=""),"",$E64+$Q64/'Grundeinstellungen'!$J$6)</f>
        <v/>
      </c>
      <c r="S64" s="64">
        <f>IF($B64="","",IFERROR(VLOOKUP($M64,'Konstanten'!$H$6:$I$13,2,FALSE),29))</f>
        <v/>
      </c>
      <c r="T64" s="65">
        <f>IF(OR($B64="",$Q64=""),"",$Q64*$H64)</f>
        <v/>
      </c>
      <c r="U64" s="66">
        <f>IF(OR($B64="",$T64=""),"",$T64-$F64)</f>
        <v/>
      </c>
      <c r="V64" s="67">
        <f>IF(OR($B64="",$T64=""),"",IFERROR($T64/$F64,""))</f>
        <v/>
      </c>
      <c r="W64" s="65">
        <f>IF(OR($B64="",$H64=""),"",'Grundeinstellungen'!$J$13*$H64)</f>
        <v/>
      </c>
      <c r="X64" s="65">
        <f>IF(OR($B64="",$T64=""),"",MIN($T64,$F64)+$W64)</f>
        <v/>
      </c>
      <c r="Y64" s="68">
        <f>IF($B64="","",IFERROR($H64/($J64/1000),""))</f>
        <v/>
      </c>
      <c r="Z64" s="68">
        <f>IF($B64="","",IFERROR(2*$L64*$K64,""))</f>
        <v/>
      </c>
      <c r="AA64" s="68">
        <f>IF(OR($B64="",$Y64="",$Z64=""),"",$Y64+$Z64)</f>
        <v/>
      </c>
      <c r="AB64" s="68">
        <f>IF(OR($B64="",$AA64=""),"",IFERROR($AA64/$K64,""))</f>
        <v/>
      </c>
      <c r="AC64" s="69">
        <f>IF(OR($B64="",$X64=""),"",IFERROR(($X64/$K64)/('Grundeinstellungen'!$C$16*('Grundeinstellungen'!$C$6-'Grundeinstellungen'!$C$7))*3600,""))</f>
        <v/>
      </c>
      <c r="AD64" s="70">
        <f>IF(OR($B64="",$AC64=""),"",$AC64/'Grundeinstellungen'!$C$15*1000)</f>
        <v/>
      </c>
      <c r="AE64" s="71">
        <f>IF(OR($B64="",$AC64=""),"",IFERROR($AC64/3600/'Grundeinstellungen'!$C$15/'Grundeinstellungen'!$J$22,""))</f>
        <v/>
      </c>
      <c r="AF64" s="72">
        <f>IF(OR($B64="",$AE64=""),"",IFERROR($AE64*'Grundeinstellungen'!$J$21/'Grundeinstellungen'!$C$17,""))</f>
        <v/>
      </c>
      <c r="AG64" s="73">
        <f>IF(OR($B64="",$AF64=""),"",IF($AF64&lt;2300,"laminar",IF($AF64&lt;4000,"Übergangsbereich","turbulent")))</f>
        <v/>
      </c>
      <c r="AH64" s="74">
        <f>IF(OR($B64="",$AF64=""),"",IF($AF64&lt;2300,64/$AF64,0.316/$AF64^0.25))</f>
        <v/>
      </c>
      <c r="AI64" s="75">
        <f>IF(OR($B64="",$AH64="",$AB64=""),"",IFERROR($AH64*($AB64/'Grundeinstellungen'!$J$21)*('Grundeinstellungen'!$C$15/2)*$AE64^2,""))</f>
        <v/>
      </c>
      <c r="AJ64" s="76">
        <f>IF(OR($B64="",$AI64="",$AB64=""),"",IFERROR($AI64/$AB64,""))</f>
        <v/>
      </c>
      <c r="AK64" s="75">
        <f>IF(OR($B64="",$AI64=""),"",$AI64*(1+'Grundeinstellungen'!$C$24)+'Grundeinstellungen'!$C$25)</f>
        <v/>
      </c>
    </row>
    <row r="65">
      <c r="A65" s="51" t="n"/>
      <c r="B65" s="51" t="n"/>
      <c r="C65" s="51" t="n"/>
      <c r="D65" s="52" t="n"/>
      <c r="E65" s="53" t="n"/>
      <c r="F65" s="54" t="n"/>
      <c r="G65" s="55">
        <f>IF($B65="","",IFERROR($F65/$D65,""))</f>
        <v/>
      </c>
      <c r="H65" s="52" t="n"/>
      <c r="I65" s="56" t="n"/>
      <c r="J65" s="57" t="n"/>
      <c r="K65" s="58" t="n"/>
      <c r="L65" s="59" t="n"/>
      <c r="M65" s="60" t="n"/>
      <c r="N65" s="61">
        <f>IF($B65="","",IFERROR(('Grundeinstellungen'!$C$6-'Grundeinstellungen'!$C$7)/LN(('Grundeinstellungen'!$C$6-$E65)/('Grundeinstellungen'!$C$7-$E65)),""))</f>
        <v/>
      </c>
      <c r="O65" s="62">
        <f>IF($B65="","",IFERROR(IFERROR(INDEX('Konstanten'!$B$6:$B$10,MATCH($I65,'Konstanten'!$A$6:$A$10,1))+($I65-INDEX('Konstanten'!$A$6:$A$10,MATCH($I65,'Konstanten'!$A$6:$A$10,1)))/(INDEX('Konstanten'!$A$6:$A$10,MATCH($I65,'Konstanten'!$A$6:$A$10,1)+1)-INDEX('Konstanten'!$A$6:$A$10,MATCH($I65,'Konstanten'!$A$6:$A$10,1)))*(INDEX('Konstanten'!$B$6:$B$10,MATCH($I65,'Konstanten'!$A$6:$A$10,1)+1)-INDEX('Konstanten'!$B$6:$B$10,MATCH($I65,'Konstanten'!$A$6:$A$10,1))),INDEX('Konstanten'!$B$6:$B$10,MATCH($I65,'Konstanten'!$A$6:$A$10,1))),""))</f>
        <v/>
      </c>
      <c r="P65" s="62">
        <f>IF($B65="","",IFERROR(IFERROR(INDEX('Konstanten'!$C$6:$C$10,MATCH($I65,'Konstanten'!$A$6:$A$10,1))+($I65-INDEX('Konstanten'!$A$6:$A$10,MATCH($I65,'Konstanten'!$A$6:$A$10,1)))/(INDEX('Konstanten'!$A$6:$A$10,MATCH($I65,'Konstanten'!$A$6:$A$10,1)+1)-INDEX('Konstanten'!$A$6:$A$10,MATCH($I65,'Konstanten'!$A$6:$A$10,1)))*(INDEX('Konstanten'!$C$6:$C$10,MATCH($I65,'Konstanten'!$A$6:$A$10,1)+1)-INDEX('Konstanten'!$C$6:$C$10,MATCH($I65,'Konstanten'!$A$6:$A$10,1))),INDEX('Konstanten'!$C$6:$C$10,MATCH($I65,'Konstanten'!$A$6:$A$10,1))),""))</f>
        <v/>
      </c>
      <c r="Q65" s="63">
        <f>IF(OR($B65="",$N65="",$O65="",$P65=""),"",'Konstanten'!$C$13*$O65*$P65^(1-($J65/1000)/0.075)*'Konstanten'!$C$14^'Konstanten'!$C$16*'Konstanten'!$C$15^'Konstanten'!$C$17*$N65)</f>
        <v/>
      </c>
      <c r="R65" s="64">
        <f>IF(OR($B65="",$Q65=""),"",$E65+$Q65/'Grundeinstellungen'!$J$6)</f>
        <v/>
      </c>
      <c r="S65" s="64">
        <f>IF($B65="","",IFERROR(VLOOKUP($M65,'Konstanten'!$H$6:$I$13,2,FALSE),29))</f>
        <v/>
      </c>
      <c r="T65" s="65">
        <f>IF(OR($B65="",$Q65=""),"",$Q65*$H65)</f>
        <v/>
      </c>
      <c r="U65" s="66">
        <f>IF(OR($B65="",$T65=""),"",$T65-$F65)</f>
        <v/>
      </c>
      <c r="V65" s="67">
        <f>IF(OR($B65="",$T65=""),"",IFERROR($T65/$F65,""))</f>
        <v/>
      </c>
      <c r="W65" s="65">
        <f>IF(OR($B65="",$H65=""),"",'Grundeinstellungen'!$J$13*$H65)</f>
        <v/>
      </c>
      <c r="X65" s="65">
        <f>IF(OR($B65="",$T65=""),"",MIN($T65,$F65)+$W65)</f>
        <v/>
      </c>
      <c r="Y65" s="68">
        <f>IF($B65="","",IFERROR($H65/($J65/1000),""))</f>
        <v/>
      </c>
      <c r="Z65" s="68">
        <f>IF($B65="","",IFERROR(2*$L65*$K65,""))</f>
        <v/>
      </c>
      <c r="AA65" s="68">
        <f>IF(OR($B65="",$Y65="",$Z65=""),"",$Y65+$Z65)</f>
        <v/>
      </c>
      <c r="AB65" s="68">
        <f>IF(OR($B65="",$AA65=""),"",IFERROR($AA65/$K65,""))</f>
        <v/>
      </c>
      <c r="AC65" s="69">
        <f>IF(OR($B65="",$X65=""),"",IFERROR(($X65/$K65)/('Grundeinstellungen'!$C$16*('Grundeinstellungen'!$C$6-'Grundeinstellungen'!$C$7))*3600,""))</f>
        <v/>
      </c>
      <c r="AD65" s="70">
        <f>IF(OR($B65="",$AC65=""),"",$AC65/'Grundeinstellungen'!$C$15*1000)</f>
        <v/>
      </c>
      <c r="AE65" s="71">
        <f>IF(OR($B65="",$AC65=""),"",IFERROR($AC65/3600/'Grundeinstellungen'!$C$15/'Grundeinstellungen'!$J$22,""))</f>
        <v/>
      </c>
      <c r="AF65" s="72">
        <f>IF(OR($B65="",$AE65=""),"",IFERROR($AE65*'Grundeinstellungen'!$J$21/'Grundeinstellungen'!$C$17,""))</f>
        <v/>
      </c>
      <c r="AG65" s="73">
        <f>IF(OR($B65="",$AF65=""),"",IF($AF65&lt;2300,"laminar",IF($AF65&lt;4000,"Übergangsbereich","turbulent")))</f>
        <v/>
      </c>
      <c r="AH65" s="74">
        <f>IF(OR($B65="",$AF65=""),"",IF($AF65&lt;2300,64/$AF65,0.316/$AF65^0.25))</f>
        <v/>
      </c>
      <c r="AI65" s="75">
        <f>IF(OR($B65="",$AH65="",$AB65=""),"",IFERROR($AH65*($AB65/'Grundeinstellungen'!$J$21)*('Grundeinstellungen'!$C$15/2)*$AE65^2,""))</f>
        <v/>
      </c>
      <c r="AJ65" s="76">
        <f>IF(OR($B65="",$AI65="",$AB65=""),"",IFERROR($AI65/$AB65,""))</f>
        <v/>
      </c>
      <c r="AK65" s="75">
        <f>IF(OR($B65="",$AI65=""),"",$AI65*(1+'Grundeinstellungen'!$C$24)+'Grundeinstellungen'!$C$25)</f>
        <v/>
      </c>
    </row>
    <row r="66">
      <c r="A66" s="51" t="n"/>
      <c r="B66" s="51" t="n"/>
      <c r="C66" s="51" t="n"/>
      <c r="D66" s="52" t="n"/>
      <c r="E66" s="53" t="n"/>
      <c r="F66" s="54" t="n"/>
      <c r="G66" s="55">
        <f>IF($B66="","",IFERROR($F66/$D66,""))</f>
        <v/>
      </c>
      <c r="H66" s="52" t="n"/>
      <c r="I66" s="56" t="n"/>
      <c r="J66" s="57" t="n"/>
      <c r="K66" s="58" t="n"/>
      <c r="L66" s="59" t="n"/>
      <c r="M66" s="60" t="n"/>
      <c r="N66" s="61">
        <f>IF($B66="","",IFERROR(('Grundeinstellungen'!$C$6-'Grundeinstellungen'!$C$7)/LN(('Grundeinstellungen'!$C$6-$E66)/('Grundeinstellungen'!$C$7-$E66)),""))</f>
        <v/>
      </c>
      <c r="O66" s="62">
        <f>IF($B66="","",IFERROR(IFERROR(INDEX('Konstanten'!$B$6:$B$10,MATCH($I66,'Konstanten'!$A$6:$A$10,1))+($I66-INDEX('Konstanten'!$A$6:$A$10,MATCH($I66,'Konstanten'!$A$6:$A$10,1)))/(INDEX('Konstanten'!$A$6:$A$10,MATCH($I66,'Konstanten'!$A$6:$A$10,1)+1)-INDEX('Konstanten'!$A$6:$A$10,MATCH($I66,'Konstanten'!$A$6:$A$10,1)))*(INDEX('Konstanten'!$B$6:$B$10,MATCH($I66,'Konstanten'!$A$6:$A$10,1)+1)-INDEX('Konstanten'!$B$6:$B$10,MATCH($I66,'Konstanten'!$A$6:$A$10,1))),INDEX('Konstanten'!$B$6:$B$10,MATCH($I66,'Konstanten'!$A$6:$A$10,1))),""))</f>
        <v/>
      </c>
      <c r="P66" s="62">
        <f>IF($B66="","",IFERROR(IFERROR(INDEX('Konstanten'!$C$6:$C$10,MATCH($I66,'Konstanten'!$A$6:$A$10,1))+($I66-INDEX('Konstanten'!$A$6:$A$10,MATCH($I66,'Konstanten'!$A$6:$A$10,1)))/(INDEX('Konstanten'!$A$6:$A$10,MATCH($I66,'Konstanten'!$A$6:$A$10,1)+1)-INDEX('Konstanten'!$A$6:$A$10,MATCH($I66,'Konstanten'!$A$6:$A$10,1)))*(INDEX('Konstanten'!$C$6:$C$10,MATCH($I66,'Konstanten'!$A$6:$A$10,1)+1)-INDEX('Konstanten'!$C$6:$C$10,MATCH($I66,'Konstanten'!$A$6:$A$10,1))),INDEX('Konstanten'!$C$6:$C$10,MATCH($I66,'Konstanten'!$A$6:$A$10,1))),""))</f>
        <v/>
      </c>
      <c r="Q66" s="63">
        <f>IF(OR($B66="",$N66="",$O66="",$P66=""),"",'Konstanten'!$C$13*$O66*$P66^(1-($J66/1000)/0.075)*'Konstanten'!$C$14^'Konstanten'!$C$16*'Konstanten'!$C$15^'Konstanten'!$C$17*$N66)</f>
        <v/>
      </c>
      <c r="R66" s="64">
        <f>IF(OR($B66="",$Q66=""),"",$E66+$Q66/'Grundeinstellungen'!$J$6)</f>
        <v/>
      </c>
      <c r="S66" s="64">
        <f>IF($B66="","",IFERROR(VLOOKUP($M66,'Konstanten'!$H$6:$I$13,2,FALSE),29))</f>
        <v/>
      </c>
      <c r="T66" s="65">
        <f>IF(OR($B66="",$Q66=""),"",$Q66*$H66)</f>
        <v/>
      </c>
      <c r="U66" s="66">
        <f>IF(OR($B66="",$T66=""),"",$T66-$F66)</f>
        <v/>
      </c>
      <c r="V66" s="67">
        <f>IF(OR($B66="",$T66=""),"",IFERROR($T66/$F66,""))</f>
        <v/>
      </c>
      <c r="W66" s="65">
        <f>IF(OR($B66="",$H66=""),"",'Grundeinstellungen'!$J$13*$H66)</f>
        <v/>
      </c>
      <c r="X66" s="65">
        <f>IF(OR($B66="",$T66=""),"",MIN($T66,$F66)+$W66)</f>
        <v/>
      </c>
      <c r="Y66" s="68">
        <f>IF($B66="","",IFERROR($H66/($J66/1000),""))</f>
        <v/>
      </c>
      <c r="Z66" s="68">
        <f>IF($B66="","",IFERROR(2*$L66*$K66,""))</f>
        <v/>
      </c>
      <c r="AA66" s="68">
        <f>IF(OR($B66="",$Y66="",$Z66=""),"",$Y66+$Z66)</f>
        <v/>
      </c>
      <c r="AB66" s="68">
        <f>IF(OR($B66="",$AA66=""),"",IFERROR($AA66/$K66,""))</f>
        <v/>
      </c>
      <c r="AC66" s="69">
        <f>IF(OR($B66="",$X66=""),"",IFERROR(($X66/$K66)/('Grundeinstellungen'!$C$16*('Grundeinstellungen'!$C$6-'Grundeinstellungen'!$C$7))*3600,""))</f>
        <v/>
      </c>
      <c r="AD66" s="70">
        <f>IF(OR($B66="",$AC66=""),"",$AC66/'Grundeinstellungen'!$C$15*1000)</f>
        <v/>
      </c>
      <c r="AE66" s="71">
        <f>IF(OR($B66="",$AC66=""),"",IFERROR($AC66/3600/'Grundeinstellungen'!$C$15/'Grundeinstellungen'!$J$22,""))</f>
        <v/>
      </c>
      <c r="AF66" s="72">
        <f>IF(OR($B66="",$AE66=""),"",IFERROR($AE66*'Grundeinstellungen'!$J$21/'Grundeinstellungen'!$C$17,""))</f>
        <v/>
      </c>
      <c r="AG66" s="73">
        <f>IF(OR($B66="",$AF66=""),"",IF($AF66&lt;2300,"laminar",IF($AF66&lt;4000,"Übergangsbereich","turbulent")))</f>
        <v/>
      </c>
      <c r="AH66" s="74">
        <f>IF(OR($B66="",$AF66=""),"",IF($AF66&lt;2300,64/$AF66,0.316/$AF66^0.25))</f>
        <v/>
      </c>
      <c r="AI66" s="75">
        <f>IF(OR($B66="",$AH66="",$AB66=""),"",IFERROR($AH66*($AB66/'Grundeinstellungen'!$J$21)*('Grundeinstellungen'!$C$15/2)*$AE66^2,""))</f>
        <v/>
      </c>
      <c r="AJ66" s="76">
        <f>IF(OR($B66="",$AI66="",$AB66=""),"",IFERROR($AI66/$AB66,""))</f>
        <v/>
      </c>
      <c r="AK66" s="75">
        <f>IF(OR($B66="",$AI66=""),"",$AI66*(1+'Grundeinstellungen'!$C$24)+'Grundeinstellungen'!$C$25)</f>
        <v/>
      </c>
    </row>
    <row r="67">
      <c r="A67" s="51" t="n"/>
      <c r="B67" s="51" t="n"/>
      <c r="C67" s="51" t="n"/>
      <c r="D67" s="52" t="n"/>
      <c r="E67" s="53" t="n"/>
      <c r="F67" s="54" t="n"/>
      <c r="G67" s="55">
        <f>IF($B67="","",IFERROR($F67/$D67,""))</f>
        <v/>
      </c>
      <c r="H67" s="52" t="n"/>
      <c r="I67" s="56" t="n"/>
      <c r="J67" s="57" t="n"/>
      <c r="K67" s="58" t="n"/>
      <c r="L67" s="59" t="n"/>
      <c r="M67" s="60" t="n"/>
      <c r="N67" s="61">
        <f>IF($B67="","",IFERROR(('Grundeinstellungen'!$C$6-'Grundeinstellungen'!$C$7)/LN(('Grundeinstellungen'!$C$6-$E67)/('Grundeinstellungen'!$C$7-$E67)),""))</f>
        <v/>
      </c>
      <c r="O67" s="62">
        <f>IF($B67="","",IFERROR(IFERROR(INDEX('Konstanten'!$B$6:$B$10,MATCH($I67,'Konstanten'!$A$6:$A$10,1))+($I67-INDEX('Konstanten'!$A$6:$A$10,MATCH($I67,'Konstanten'!$A$6:$A$10,1)))/(INDEX('Konstanten'!$A$6:$A$10,MATCH($I67,'Konstanten'!$A$6:$A$10,1)+1)-INDEX('Konstanten'!$A$6:$A$10,MATCH($I67,'Konstanten'!$A$6:$A$10,1)))*(INDEX('Konstanten'!$B$6:$B$10,MATCH($I67,'Konstanten'!$A$6:$A$10,1)+1)-INDEX('Konstanten'!$B$6:$B$10,MATCH($I67,'Konstanten'!$A$6:$A$10,1))),INDEX('Konstanten'!$B$6:$B$10,MATCH($I67,'Konstanten'!$A$6:$A$10,1))),""))</f>
        <v/>
      </c>
      <c r="P67" s="62">
        <f>IF($B67="","",IFERROR(IFERROR(INDEX('Konstanten'!$C$6:$C$10,MATCH($I67,'Konstanten'!$A$6:$A$10,1))+($I67-INDEX('Konstanten'!$A$6:$A$10,MATCH($I67,'Konstanten'!$A$6:$A$10,1)))/(INDEX('Konstanten'!$A$6:$A$10,MATCH($I67,'Konstanten'!$A$6:$A$10,1)+1)-INDEX('Konstanten'!$A$6:$A$10,MATCH($I67,'Konstanten'!$A$6:$A$10,1)))*(INDEX('Konstanten'!$C$6:$C$10,MATCH($I67,'Konstanten'!$A$6:$A$10,1)+1)-INDEX('Konstanten'!$C$6:$C$10,MATCH($I67,'Konstanten'!$A$6:$A$10,1))),INDEX('Konstanten'!$C$6:$C$10,MATCH($I67,'Konstanten'!$A$6:$A$10,1))),""))</f>
        <v/>
      </c>
      <c r="Q67" s="63">
        <f>IF(OR($B67="",$N67="",$O67="",$P67=""),"",'Konstanten'!$C$13*$O67*$P67^(1-($J67/1000)/0.075)*'Konstanten'!$C$14^'Konstanten'!$C$16*'Konstanten'!$C$15^'Konstanten'!$C$17*$N67)</f>
        <v/>
      </c>
      <c r="R67" s="64">
        <f>IF(OR($B67="",$Q67=""),"",$E67+$Q67/'Grundeinstellungen'!$J$6)</f>
        <v/>
      </c>
      <c r="S67" s="64">
        <f>IF($B67="","",IFERROR(VLOOKUP($M67,'Konstanten'!$H$6:$I$13,2,FALSE),29))</f>
        <v/>
      </c>
      <c r="T67" s="65">
        <f>IF(OR($B67="",$Q67=""),"",$Q67*$H67)</f>
        <v/>
      </c>
      <c r="U67" s="66">
        <f>IF(OR($B67="",$T67=""),"",$T67-$F67)</f>
        <v/>
      </c>
      <c r="V67" s="67">
        <f>IF(OR($B67="",$T67=""),"",IFERROR($T67/$F67,""))</f>
        <v/>
      </c>
      <c r="W67" s="65">
        <f>IF(OR($B67="",$H67=""),"",'Grundeinstellungen'!$J$13*$H67)</f>
        <v/>
      </c>
      <c r="X67" s="65">
        <f>IF(OR($B67="",$T67=""),"",MIN($T67,$F67)+$W67)</f>
        <v/>
      </c>
      <c r="Y67" s="68">
        <f>IF($B67="","",IFERROR($H67/($J67/1000),""))</f>
        <v/>
      </c>
      <c r="Z67" s="68">
        <f>IF($B67="","",IFERROR(2*$L67*$K67,""))</f>
        <v/>
      </c>
      <c r="AA67" s="68">
        <f>IF(OR($B67="",$Y67="",$Z67=""),"",$Y67+$Z67)</f>
        <v/>
      </c>
      <c r="AB67" s="68">
        <f>IF(OR($B67="",$AA67=""),"",IFERROR($AA67/$K67,""))</f>
        <v/>
      </c>
      <c r="AC67" s="69">
        <f>IF(OR($B67="",$X67=""),"",IFERROR(($X67/$K67)/('Grundeinstellungen'!$C$16*('Grundeinstellungen'!$C$6-'Grundeinstellungen'!$C$7))*3600,""))</f>
        <v/>
      </c>
      <c r="AD67" s="70">
        <f>IF(OR($B67="",$AC67=""),"",$AC67/'Grundeinstellungen'!$C$15*1000)</f>
        <v/>
      </c>
      <c r="AE67" s="71">
        <f>IF(OR($B67="",$AC67=""),"",IFERROR($AC67/3600/'Grundeinstellungen'!$C$15/'Grundeinstellungen'!$J$22,""))</f>
        <v/>
      </c>
      <c r="AF67" s="72">
        <f>IF(OR($B67="",$AE67=""),"",IFERROR($AE67*'Grundeinstellungen'!$J$21/'Grundeinstellungen'!$C$17,""))</f>
        <v/>
      </c>
      <c r="AG67" s="73">
        <f>IF(OR($B67="",$AF67=""),"",IF($AF67&lt;2300,"laminar",IF($AF67&lt;4000,"Übergangsbereich","turbulent")))</f>
        <v/>
      </c>
      <c r="AH67" s="74">
        <f>IF(OR($B67="",$AF67=""),"",IF($AF67&lt;2300,64/$AF67,0.316/$AF67^0.25))</f>
        <v/>
      </c>
      <c r="AI67" s="75">
        <f>IF(OR($B67="",$AH67="",$AB67=""),"",IFERROR($AH67*($AB67/'Grundeinstellungen'!$J$21)*('Grundeinstellungen'!$C$15/2)*$AE67^2,""))</f>
        <v/>
      </c>
      <c r="AJ67" s="76">
        <f>IF(OR($B67="",$AI67="",$AB67=""),"",IFERROR($AI67/$AB67,""))</f>
        <v/>
      </c>
      <c r="AK67" s="75">
        <f>IF(OR($B67="",$AI67=""),"",$AI67*(1+'Grundeinstellungen'!$C$24)+'Grundeinstellungen'!$C$25)</f>
        <v/>
      </c>
    </row>
    <row r="68">
      <c r="A68" s="51" t="n"/>
      <c r="B68" s="51" t="n"/>
      <c r="C68" s="51" t="n"/>
      <c r="D68" s="52" t="n"/>
      <c r="E68" s="53" t="n"/>
      <c r="F68" s="54" t="n"/>
      <c r="G68" s="55">
        <f>IF($B68="","",IFERROR($F68/$D68,""))</f>
        <v/>
      </c>
      <c r="H68" s="52" t="n"/>
      <c r="I68" s="56" t="n"/>
      <c r="J68" s="57" t="n"/>
      <c r="K68" s="58" t="n"/>
      <c r="L68" s="59" t="n"/>
      <c r="M68" s="60" t="n"/>
      <c r="N68" s="61">
        <f>IF($B68="","",IFERROR(('Grundeinstellungen'!$C$6-'Grundeinstellungen'!$C$7)/LN(('Grundeinstellungen'!$C$6-$E68)/('Grundeinstellungen'!$C$7-$E68)),""))</f>
        <v/>
      </c>
      <c r="O68" s="62">
        <f>IF($B68="","",IFERROR(IFERROR(INDEX('Konstanten'!$B$6:$B$10,MATCH($I68,'Konstanten'!$A$6:$A$10,1))+($I68-INDEX('Konstanten'!$A$6:$A$10,MATCH($I68,'Konstanten'!$A$6:$A$10,1)))/(INDEX('Konstanten'!$A$6:$A$10,MATCH($I68,'Konstanten'!$A$6:$A$10,1)+1)-INDEX('Konstanten'!$A$6:$A$10,MATCH($I68,'Konstanten'!$A$6:$A$10,1)))*(INDEX('Konstanten'!$B$6:$B$10,MATCH($I68,'Konstanten'!$A$6:$A$10,1)+1)-INDEX('Konstanten'!$B$6:$B$10,MATCH($I68,'Konstanten'!$A$6:$A$10,1))),INDEX('Konstanten'!$B$6:$B$10,MATCH($I68,'Konstanten'!$A$6:$A$10,1))),""))</f>
        <v/>
      </c>
      <c r="P68" s="62">
        <f>IF($B68="","",IFERROR(IFERROR(INDEX('Konstanten'!$C$6:$C$10,MATCH($I68,'Konstanten'!$A$6:$A$10,1))+($I68-INDEX('Konstanten'!$A$6:$A$10,MATCH($I68,'Konstanten'!$A$6:$A$10,1)))/(INDEX('Konstanten'!$A$6:$A$10,MATCH($I68,'Konstanten'!$A$6:$A$10,1)+1)-INDEX('Konstanten'!$A$6:$A$10,MATCH($I68,'Konstanten'!$A$6:$A$10,1)))*(INDEX('Konstanten'!$C$6:$C$10,MATCH($I68,'Konstanten'!$A$6:$A$10,1)+1)-INDEX('Konstanten'!$C$6:$C$10,MATCH($I68,'Konstanten'!$A$6:$A$10,1))),INDEX('Konstanten'!$C$6:$C$10,MATCH($I68,'Konstanten'!$A$6:$A$10,1))),""))</f>
        <v/>
      </c>
      <c r="Q68" s="63">
        <f>IF(OR($B68="",$N68="",$O68="",$P68=""),"",'Konstanten'!$C$13*$O68*$P68^(1-($J68/1000)/0.075)*'Konstanten'!$C$14^'Konstanten'!$C$16*'Konstanten'!$C$15^'Konstanten'!$C$17*$N68)</f>
        <v/>
      </c>
      <c r="R68" s="64">
        <f>IF(OR($B68="",$Q68=""),"",$E68+$Q68/'Grundeinstellungen'!$J$6)</f>
        <v/>
      </c>
      <c r="S68" s="64">
        <f>IF($B68="","",IFERROR(VLOOKUP($M68,'Konstanten'!$H$6:$I$13,2,FALSE),29))</f>
        <v/>
      </c>
      <c r="T68" s="65">
        <f>IF(OR($B68="",$Q68=""),"",$Q68*$H68)</f>
        <v/>
      </c>
      <c r="U68" s="66">
        <f>IF(OR($B68="",$T68=""),"",$T68-$F68)</f>
        <v/>
      </c>
      <c r="V68" s="67">
        <f>IF(OR($B68="",$T68=""),"",IFERROR($T68/$F68,""))</f>
        <v/>
      </c>
      <c r="W68" s="65">
        <f>IF(OR($B68="",$H68=""),"",'Grundeinstellungen'!$J$13*$H68)</f>
        <v/>
      </c>
      <c r="X68" s="65">
        <f>IF(OR($B68="",$T68=""),"",MIN($T68,$F68)+$W68)</f>
        <v/>
      </c>
      <c r="Y68" s="68">
        <f>IF($B68="","",IFERROR($H68/($J68/1000),""))</f>
        <v/>
      </c>
      <c r="Z68" s="68">
        <f>IF($B68="","",IFERROR(2*$L68*$K68,""))</f>
        <v/>
      </c>
      <c r="AA68" s="68">
        <f>IF(OR($B68="",$Y68="",$Z68=""),"",$Y68+$Z68)</f>
        <v/>
      </c>
      <c r="AB68" s="68">
        <f>IF(OR($B68="",$AA68=""),"",IFERROR($AA68/$K68,""))</f>
        <v/>
      </c>
      <c r="AC68" s="69">
        <f>IF(OR($B68="",$X68=""),"",IFERROR(($X68/$K68)/('Grundeinstellungen'!$C$16*('Grundeinstellungen'!$C$6-'Grundeinstellungen'!$C$7))*3600,""))</f>
        <v/>
      </c>
      <c r="AD68" s="70">
        <f>IF(OR($B68="",$AC68=""),"",$AC68/'Grundeinstellungen'!$C$15*1000)</f>
        <v/>
      </c>
      <c r="AE68" s="71">
        <f>IF(OR($B68="",$AC68=""),"",IFERROR($AC68/3600/'Grundeinstellungen'!$C$15/'Grundeinstellungen'!$J$22,""))</f>
        <v/>
      </c>
      <c r="AF68" s="72">
        <f>IF(OR($B68="",$AE68=""),"",IFERROR($AE68*'Grundeinstellungen'!$J$21/'Grundeinstellungen'!$C$17,""))</f>
        <v/>
      </c>
      <c r="AG68" s="73">
        <f>IF(OR($B68="",$AF68=""),"",IF($AF68&lt;2300,"laminar",IF($AF68&lt;4000,"Übergangsbereich","turbulent")))</f>
        <v/>
      </c>
      <c r="AH68" s="74">
        <f>IF(OR($B68="",$AF68=""),"",IF($AF68&lt;2300,64/$AF68,0.316/$AF68^0.25))</f>
        <v/>
      </c>
      <c r="AI68" s="75">
        <f>IF(OR($B68="",$AH68="",$AB68=""),"",IFERROR($AH68*($AB68/'Grundeinstellungen'!$J$21)*('Grundeinstellungen'!$C$15/2)*$AE68^2,""))</f>
        <v/>
      </c>
      <c r="AJ68" s="76">
        <f>IF(OR($B68="",$AI68="",$AB68=""),"",IFERROR($AI68/$AB68,""))</f>
        <v/>
      </c>
      <c r="AK68" s="75">
        <f>IF(OR($B68="",$AI68=""),"",$AI68*(1+'Grundeinstellungen'!$C$24)+'Grundeinstellungen'!$C$25)</f>
        <v/>
      </c>
    </row>
    <row r="69">
      <c r="A69" s="51" t="n"/>
      <c r="B69" s="51" t="n"/>
      <c r="C69" s="51" t="n"/>
      <c r="D69" s="52" t="n"/>
      <c r="E69" s="53" t="n"/>
      <c r="F69" s="54" t="n"/>
      <c r="G69" s="55">
        <f>IF($B69="","",IFERROR($F69/$D69,""))</f>
        <v/>
      </c>
      <c r="H69" s="52" t="n"/>
      <c r="I69" s="56" t="n"/>
      <c r="J69" s="57" t="n"/>
      <c r="K69" s="58" t="n"/>
      <c r="L69" s="59" t="n"/>
      <c r="M69" s="60" t="n"/>
      <c r="N69" s="61">
        <f>IF($B69="","",IFERROR(('Grundeinstellungen'!$C$6-'Grundeinstellungen'!$C$7)/LN(('Grundeinstellungen'!$C$6-$E69)/('Grundeinstellungen'!$C$7-$E69)),""))</f>
        <v/>
      </c>
      <c r="O69" s="62">
        <f>IF($B69="","",IFERROR(IFERROR(INDEX('Konstanten'!$B$6:$B$10,MATCH($I69,'Konstanten'!$A$6:$A$10,1))+($I69-INDEX('Konstanten'!$A$6:$A$10,MATCH($I69,'Konstanten'!$A$6:$A$10,1)))/(INDEX('Konstanten'!$A$6:$A$10,MATCH($I69,'Konstanten'!$A$6:$A$10,1)+1)-INDEX('Konstanten'!$A$6:$A$10,MATCH($I69,'Konstanten'!$A$6:$A$10,1)))*(INDEX('Konstanten'!$B$6:$B$10,MATCH($I69,'Konstanten'!$A$6:$A$10,1)+1)-INDEX('Konstanten'!$B$6:$B$10,MATCH($I69,'Konstanten'!$A$6:$A$10,1))),INDEX('Konstanten'!$B$6:$B$10,MATCH($I69,'Konstanten'!$A$6:$A$10,1))),""))</f>
        <v/>
      </c>
      <c r="P69" s="62">
        <f>IF($B69="","",IFERROR(IFERROR(INDEX('Konstanten'!$C$6:$C$10,MATCH($I69,'Konstanten'!$A$6:$A$10,1))+($I69-INDEX('Konstanten'!$A$6:$A$10,MATCH($I69,'Konstanten'!$A$6:$A$10,1)))/(INDEX('Konstanten'!$A$6:$A$10,MATCH($I69,'Konstanten'!$A$6:$A$10,1)+1)-INDEX('Konstanten'!$A$6:$A$10,MATCH($I69,'Konstanten'!$A$6:$A$10,1)))*(INDEX('Konstanten'!$C$6:$C$10,MATCH($I69,'Konstanten'!$A$6:$A$10,1)+1)-INDEX('Konstanten'!$C$6:$C$10,MATCH($I69,'Konstanten'!$A$6:$A$10,1))),INDEX('Konstanten'!$C$6:$C$10,MATCH($I69,'Konstanten'!$A$6:$A$10,1))),""))</f>
        <v/>
      </c>
      <c r="Q69" s="63">
        <f>IF(OR($B69="",$N69="",$O69="",$P69=""),"",'Konstanten'!$C$13*$O69*$P69^(1-($J69/1000)/0.075)*'Konstanten'!$C$14^'Konstanten'!$C$16*'Konstanten'!$C$15^'Konstanten'!$C$17*$N69)</f>
        <v/>
      </c>
      <c r="R69" s="64">
        <f>IF(OR($B69="",$Q69=""),"",$E69+$Q69/'Grundeinstellungen'!$J$6)</f>
        <v/>
      </c>
      <c r="S69" s="64">
        <f>IF($B69="","",IFERROR(VLOOKUP($M69,'Konstanten'!$H$6:$I$13,2,FALSE),29))</f>
        <v/>
      </c>
      <c r="T69" s="65">
        <f>IF(OR($B69="",$Q69=""),"",$Q69*$H69)</f>
        <v/>
      </c>
      <c r="U69" s="66">
        <f>IF(OR($B69="",$T69=""),"",$T69-$F69)</f>
        <v/>
      </c>
      <c r="V69" s="67">
        <f>IF(OR($B69="",$T69=""),"",IFERROR($T69/$F69,""))</f>
        <v/>
      </c>
      <c r="W69" s="65">
        <f>IF(OR($B69="",$H69=""),"",'Grundeinstellungen'!$J$13*$H69)</f>
        <v/>
      </c>
      <c r="X69" s="65">
        <f>IF(OR($B69="",$T69=""),"",MIN($T69,$F69)+$W69)</f>
        <v/>
      </c>
      <c r="Y69" s="68">
        <f>IF($B69="","",IFERROR($H69/($J69/1000),""))</f>
        <v/>
      </c>
      <c r="Z69" s="68">
        <f>IF($B69="","",IFERROR(2*$L69*$K69,""))</f>
        <v/>
      </c>
      <c r="AA69" s="68">
        <f>IF(OR($B69="",$Y69="",$Z69=""),"",$Y69+$Z69)</f>
        <v/>
      </c>
      <c r="AB69" s="68">
        <f>IF(OR($B69="",$AA69=""),"",IFERROR($AA69/$K69,""))</f>
        <v/>
      </c>
      <c r="AC69" s="69">
        <f>IF(OR($B69="",$X69=""),"",IFERROR(($X69/$K69)/('Grundeinstellungen'!$C$16*('Grundeinstellungen'!$C$6-'Grundeinstellungen'!$C$7))*3600,""))</f>
        <v/>
      </c>
      <c r="AD69" s="70">
        <f>IF(OR($B69="",$AC69=""),"",$AC69/'Grundeinstellungen'!$C$15*1000)</f>
        <v/>
      </c>
      <c r="AE69" s="71">
        <f>IF(OR($B69="",$AC69=""),"",IFERROR($AC69/3600/'Grundeinstellungen'!$C$15/'Grundeinstellungen'!$J$22,""))</f>
        <v/>
      </c>
      <c r="AF69" s="72">
        <f>IF(OR($B69="",$AE69=""),"",IFERROR($AE69*'Grundeinstellungen'!$J$21/'Grundeinstellungen'!$C$17,""))</f>
        <v/>
      </c>
      <c r="AG69" s="73">
        <f>IF(OR($B69="",$AF69=""),"",IF($AF69&lt;2300,"laminar",IF($AF69&lt;4000,"Übergangsbereich","turbulent")))</f>
        <v/>
      </c>
      <c r="AH69" s="74">
        <f>IF(OR($B69="",$AF69=""),"",IF($AF69&lt;2300,64/$AF69,0.316/$AF69^0.25))</f>
        <v/>
      </c>
      <c r="AI69" s="75">
        <f>IF(OR($B69="",$AH69="",$AB69=""),"",IFERROR($AH69*($AB69/'Grundeinstellungen'!$J$21)*('Grundeinstellungen'!$C$15/2)*$AE69^2,""))</f>
        <v/>
      </c>
      <c r="AJ69" s="76">
        <f>IF(OR($B69="",$AI69="",$AB69=""),"",IFERROR($AI69/$AB69,""))</f>
        <v/>
      </c>
      <c r="AK69" s="75">
        <f>IF(OR($B69="",$AI69=""),"",$AI69*(1+'Grundeinstellungen'!$C$24)+'Grundeinstellungen'!$C$25)</f>
        <v/>
      </c>
    </row>
    <row r="70">
      <c r="A70" s="51" t="n"/>
      <c r="B70" s="51" t="n"/>
      <c r="C70" s="51" t="n"/>
      <c r="D70" s="52" t="n"/>
      <c r="E70" s="53" t="n"/>
      <c r="F70" s="54" t="n"/>
      <c r="G70" s="55">
        <f>IF($B70="","",IFERROR($F70/$D70,""))</f>
        <v/>
      </c>
      <c r="H70" s="52" t="n"/>
      <c r="I70" s="56" t="n"/>
      <c r="J70" s="57" t="n"/>
      <c r="K70" s="58" t="n"/>
      <c r="L70" s="59" t="n"/>
      <c r="M70" s="60" t="n"/>
      <c r="N70" s="61">
        <f>IF($B70="","",IFERROR(('Grundeinstellungen'!$C$6-'Grundeinstellungen'!$C$7)/LN(('Grundeinstellungen'!$C$6-$E70)/('Grundeinstellungen'!$C$7-$E70)),""))</f>
        <v/>
      </c>
      <c r="O70" s="62">
        <f>IF($B70="","",IFERROR(IFERROR(INDEX('Konstanten'!$B$6:$B$10,MATCH($I70,'Konstanten'!$A$6:$A$10,1))+($I70-INDEX('Konstanten'!$A$6:$A$10,MATCH($I70,'Konstanten'!$A$6:$A$10,1)))/(INDEX('Konstanten'!$A$6:$A$10,MATCH($I70,'Konstanten'!$A$6:$A$10,1)+1)-INDEX('Konstanten'!$A$6:$A$10,MATCH($I70,'Konstanten'!$A$6:$A$10,1)))*(INDEX('Konstanten'!$B$6:$B$10,MATCH($I70,'Konstanten'!$A$6:$A$10,1)+1)-INDEX('Konstanten'!$B$6:$B$10,MATCH($I70,'Konstanten'!$A$6:$A$10,1))),INDEX('Konstanten'!$B$6:$B$10,MATCH($I70,'Konstanten'!$A$6:$A$10,1))),""))</f>
        <v/>
      </c>
      <c r="P70" s="62">
        <f>IF($B70="","",IFERROR(IFERROR(INDEX('Konstanten'!$C$6:$C$10,MATCH($I70,'Konstanten'!$A$6:$A$10,1))+($I70-INDEX('Konstanten'!$A$6:$A$10,MATCH($I70,'Konstanten'!$A$6:$A$10,1)))/(INDEX('Konstanten'!$A$6:$A$10,MATCH($I70,'Konstanten'!$A$6:$A$10,1)+1)-INDEX('Konstanten'!$A$6:$A$10,MATCH($I70,'Konstanten'!$A$6:$A$10,1)))*(INDEX('Konstanten'!$C$6:$C$10,MATCH($I70,'Konstanten'!$A$6:$A$10,1)+1)-INDEX('Konstanten'!$C$6:$C$10,MATCH($I70,'Konstanten'!$A$6:$A$10,1))),INDEX('Konstanten'!$C$6:$C$10,MATCH($I70,'Konstanten'!$A$6:$A$10,1))),""))</f>
        <v/>
      </c>
      <c r="Q70" s="63">
        <f>IF(OR($B70="",$N70="",$O70="",$P70=""),"",'Konstanten'!$C$13*$O70*$P70^(1-($J70/1000)/0.075)*'Konstanten'!$C$14^'Konstanten'!$C$16*'Konstanten'!$C$15^'Konstanten'!$C$17*$N70)</f>
        <v/>
      </c>
      <c r="R70" s="64">
        <f>IF(OR($B70="",$Q70=""),"",$E70+$Q70/'Grundeinstellungen'!$J$6)</f>
        <v/>
      </c>
      <c r="S70" s="64">
        <f>IF($B70="","",IFERROR(VLOOKUP($M70,'Konstanten'!$H$6:$I$13,2,FALSE),29))</f>
        <v/>
      </c>
      <c r="T70" s="65">
        <f>IF(OR($B70="",$Q70=""),"",$Q70*$H70)</f>
        <v/>
      </c>
      <c r="U70" s="66">
        <f>IF(OR($B70="",$T70=""),"",$T70-$F70)</f>
        <v/>
      </c>
      <c r="V70" s="67">
        <f>IF(OR($B70="",$T70=""),"",IFERROR($T70/$F70,""))</f>
        <v/>
      </c>
      <c r="W70" s="65">
        <f>IF(OR($B70="",$H70=""),"",'Grundeinstellungen'!$J$13*$H70)</f>
        <v/>
      </c>
      <c r="X70" s="65">
        <f>IF(OR($B70="",$T70=""),"",MIN($T70,$F70)+$W70)</f>
        <v/>
      </c>
      <c r="Y70" s="68">
        <f>IF($B70="","",IFERROR($H70/($J70/1000),""))</f>
        <v/>
      </c>
      <c r="Z70" s="68">
        <f>IF($B70="","",IFERROR(2*$L70*$K70,""))</f>
        <v/>
      </c>
      <c r="AA70" s="68">
        <f>IF(OR($B70="",$Y70="",$Z70=""),"",$Y70+$Z70)</f>
        <v/>
      </c>
      <c r="AB70" s="68">
        <f>IF(OR($B70="",$AA70=""),"",IFERROR($AA70/$K70,""))</f>
        <v/>
      </c>
      <c r="AC70" s="69">
        <f>IF(OR($B70="",$X70=""),"",IFERROR(($X70/$K70)/('Grundeinstellungen'!$C$16*('Grundeinstellungen'!$C$6-'Grundeinstellungen'!$C$7))*3600,""))</f>
        <v/>
      </c>
      <c r="AD70" s="70">
        <f>IF(OR($B70="",$AC70=""),"",$AC70/'Grundeinstellungen'!$C$15*1000)</f>
        <v/>
      </c>
      <c r="AE70" s="71">
        <f>IF(OR($B70="",$AC70=""),"",IFERROR($AC70/3600/'Grundeinstellungen'!$C$15/'Grundeinstellungen'!$J$22,""))</f>
        <v/>
      </c>
      <c r="AF70" s="72">
        <f>IF(OR($B70="",$AE70=""),"",IFERROR($AE70*'Grundeinstellungen'!$J$21/'Grundeinstellungen'!$C$17,""))</f>
        <v/>
      </c>
      <c r="AG70" s="73">
        <f>IF(OR($B70="",$AF70=""),"",IF($AF70&lt;2300,"laminar",IF($AF70&lt;4000,"Übergangsbereich","turbulent")))</f>
        <v/>
      </c>
      <c r="AH70" s="74">
        <f>IF(OR($B70="",$AF70=""),"",IF($AF70&lt;2300,64/$AF70,0.316/$AF70^0.25))</f>
        <v/>
      </c>
      <c r="AI70" s="75">
        <f>IF(OR($B70="",$AH70="",$AB70=""),"",IFERROR($AH70*($AB70/'Grundeinstellungen'!$J$21)*('Grundeinstellungen'!$C$15/2)*$AE70^2,""))</f>
        <v/>
      </c>
      <c r="AJ70" s="76">
        <f>IF(OR($B70="",$AI70="",$AB70=""),"",IFERROR($AI70/$AB70,""))</f>
        <v/>
      </c>
      <c r="AK70" s="75">
        <f>IF(OR($B70="",$AI70=""),"",$AI70*(1+'Grundeinstellungen'!$C$24)+'Grundeinstellungen'!$C$25)</f>
        <v/>
      </c>
    </row>
    <row r="71">
      <c r="A71" s="51" t="n"/>
      <c r="B71" s="51" t="n"/>
      <c r="C71" s="51" t="n"/>
      <c r="D71" s="52" t="n"/>
      <c r="E71" s="53" t="n"/>
      <c r="F71" s="54" t="n"/>
      <c r="G71" s="55">
        <f>IF($B71="","",IFERROR($F71/$D71,""))</f>
        <v/>
      </c>
      <c r="H71" s="52" t="n"/>
      <c r="I71" s="56" t="n"/>
      <c r="J71" s="57" t="n"/>
      <c r="K71" s="58" t="n"/>
      <c r="L71" s="59" t="n"/>
      <c r="M71" s="60" t="n"/>
      <c r="N71" s="61">
        <f>IF($B71="","",IFERROR(('Grundeinstellungen'!$C$6-'Grundeinstellungen'!$C$7)/LN(('Grundeinstellungen'!$C$6-$E71)/('Grundeinstellungen'!$C$7-$E71)),""))</f>
        <v/>
      </c>
      <c r="O71" s="62">
        <f>IF($B71="","",IFERROR(IFERROR(INDEX('Konstanten'!$B$6:$B$10,MATCH($I71,'Konstanten'!$A$6:$A$10,1))+($I71-INDEX('Konstanten'!$A$6:$A$10,MATCH($I71,'Konstanten'!$A$6:$A$10,1)))/(INDEX('Konstanten'!$A$6:$A$10,MATCH($I71,'Konstanten'!$A$6:$A$10,1)+1)-INDEX('Konstanten'!$A$6:$A$10,MATCH($I71,'Konstanten'!$A$6:$A$10,1)))*(INDEX('Konstanten'!$B$6:$B$10,MATCH($I71,'Konstanten'!$A$6:$A$10,1)+1)-INDEX('Konstanten'!$B$6:$B$10,MATCH($I71,'Konstanten'!$A$6:$A$10,1))),INDEX('Konstanten'!$B$6:$B$10,MATCH($I71,'Konstanten'!$A$6:$A$10,1))),""))</f>
        <v/>
      </c>
      <c r="P71" s="62">
        <f>IF($B71="","",IFERROR(IFERROR(INDEX('Konstanten'!$C$6:$C$10,MATCH($I71,'Konstanten'!$A$6:$A$10,1))+($I71-INDEX('Konstanten'!$A$6:$A$10,MATCH($I71,'Konstanten'!$A$6:$A$10,1)))/(INDEX('Konstanten'!$A$6:$A$10,MATCH($I71,'Konstanten'!$A$6:$A$10,1)+1)-INDEX('Konstanten'!$A$6:$A$10,MATCH($I71,'Konstanten'!$A$6:$A$10,1)))*(INDEX('Konstanten'!$C$6:$C$10,MATCH($I71,'Konstanten'!$A$6:$A$10,1)+1)-INDEX('Konstanten'!$C$6:$C$10,MATCH($I71,'Konstanten'!$A$6:$A$10,1))),INDEX('Konstanten'!$C$6:$C$10,MATCH($I71,'Konstanten'!$A$6:$A$10,1))),""))</f>
        <v/>
      </c>
      <c r="Q71" s="63">
        <f>IF(OR($B71="",$N71="",$O71="",$P71=""),"",'Konstanten'!$C$13*$O71*$P71^(1-($J71/1000)/0.075)*'Konstanten'!$C$14^'Konstanten'!$C$16*'Konstanten'!$C$15^'Konstanten'!$C$17*$N71)</f>
        <v/>
      </c>
      <c r="R71" s="64">
        <f>IF(OR($B71="",$Q71=""),"",$E71+$Q71/'Grundeinstellungen'!$J$6)</f>
        <v/>
      </c>
      <c r="S71" s="64">
        <f>IF($B71="","",IFERROR(VLOOKUP($M71,'Konstanten'!$H$6:$I$13,2,FALSE),29))</f>
        <v/>
      </c>
      <c r="T71" s="65">
        <f>IF(OR($B71="",$Q71=""),"",$Q71*$H71)</f>
        <v/>
      </c>
      <c r="U71" s="66">
        <f>IF(OR($B71="",$T71=""),"",$T71-$F71)</f>
        <v/>
      </c>
      <c r="V71" s="67">
        <f>IF(OR($B71="",$T71=""),"",IFERROR($T71/$F71,""))</f>
        <v/>
      </c>
      <c r="W71" s="65">
        <f>IF(OR($B71="",$H71=""),"",'Grundeinstellungen'!$J$13*$H71)</f>
        <v/>
      </c>
      <c r="X71" s="65">
        <f>IF(OR($B71="",$T71=""),"",MIN($T71,$F71)+$W71)</f>
        <v/>
      </c>
      <c r="Y71" s="68">
        <f>IF($B71="","",IFERROR($H71/($J71/1000),""))</f>
        <v/>
      </c>
      <c r="Z71" s="68">
        <f>IF($B71="","",IFERROR(2*$L71*$K71,""))</f>
        <v/>
      </c>
      <c r="AA71" s="68">
        <f>IF(OR($B71="",$Y71="",$Z71=""),"",$Y71+$Z71)</f>
        <v/>
      </c>
      <c r="AB71" s="68">
        <f>IF(OR($B71="",$AA71=""),"",IFERROR($AA71/$K71,""))</f>
        <v/>
      </c>
      <c r="AC71" s="69">
        <f>IF(OR($B71="",$X71=""),"",IFERROR(($X71/$K71)/('Grundeinstellungen'!$C$16*('Grundeinstellungen'!$C$6-'Grundeinstellungen'!$C$7))*3600,""))</f>
        <v/>
      </c>
      <c r="AD71" s="70">
        <f>IF(OR($B71="",$AC71=""),"",$AC71/'Grundeinstellungen'!$C$15*1000)</f>
        <v/>
      </c>
      <c r="AE71" s="71">
        <f>IF(OR($B71="",$AC71=""),"",IFERROR($AC71/3600/'Grundeinstellungen'!$C$15/'Grundeinstellungen'!$J$22,""))</f>
        <v/>
      </c>
      <c r="AF71" s="72">
        <f>IF(OR($B71="",$AE71=""),"",IFERROR($AE71*'Grundeinstellungen'!$J$21/'Grundeinstellungen'!$C$17,""))</f>
        <v/>
      </c>
      <c r="AG71" s="73">
        <f>IF(OR($B71="",$AF71=""),"",IF($AF71&lt;2300,"laminar",IF($AF71&lt;4000,"Übergangsbereich","turbulent")))</f>
        <v/>
      </c>
      <c r="AH71" s="74">
        <f>IF(OR($B71="",$AF71=""),"",IF($AF71&lt;2300,64/$AF71,0.316/$AF71^0.25))</f>
        <v/>
      </c>
      <c r="AI71" s="75">
        <f>IF(OR($B71="",$AH71="",$AB71=""),"",IFERROR($AH71*($AB71/'Grundeinstellungen'!$J$21)*('Grundeinstellungen'!$C$15/2)*$AE71^2,""))</f>
        <v/>
      </c>
      <c r="AJ71" s="76">
        <f>IF(OR($B71="",$AI71="",$AB71=""),"",IFERROR($AI71/$AB71,""))</f>
        <v/>
      </c>
      <c r="AK71" s="75">
        <f>IF(OR($B71="",$AI71=""),"",$AI71*(1+'Grundeinstellungen'!$C$24)+'Grundeinstellungen'!$C$25)</f>
        <v/>
      </c>
    </row>
    <row r="72">
      <c r="A72" s="51" t="n"/>
      <c r="B72" s="51" t="n"/>
      <c r="C72" s="51" t="n"/>
      <c r="D72" s="52" t="n"/>
      <c r="E72" s="53" t="n"/>
      <c r="F72" s="54" t="n"/>
      <c r="G72" s="55">
        <f>IF($B72="","",IFERROR($F72/$D72,""))</f>
        <v/>
      </c>
      <c r="H72" s="52" t="n"/>
      <c r="I72" s="56" t="n"/>
      <c r="J72" s="57" t="n"/>
      <c r="K72" s="58" t="n"/>
      <c r="L72" s="59" t="n"/>
      <c r="M72" s="60" t="n"/>
      <c r="N72" s="61">
        <f>IF($B72="","",IFERROR(('Grundeinstellungen'!$C$6-'Grundeinstellungen'!$C$7)/LN(('Grundeinstellungen'!$C$6-$E72)/('Grundeinstellungen'!$C$7-$E72)),""))</f>
        <v/>
      </c>
      <c r="O72" s="62">
        <f>IF($B72="","",IFERROR(IFERROR(INDEX('Konstanten'!$B$6:$B$10,MATCH($I72,'Konstanten'!$A$6:$A$10,1))+($I72-INDEX('Konstanten'!$A$6:$A$10,MATCH($I72,'Konstanten'!$A$6:$A$10,1)))/(INDEX('Konstanten'!$A$6:$A$10,MATCH($I72,'Konstanten'!$A$6:$A$10,1)+1)-INDEX('Konstanten'!$A$6:$A$10,MATCH($I72,'Konstanten'!$A$6:$A$10,1)))*(INDEX('Konstanten'!$B$6:$B$10,MATCH($I72,'Konstanten'!$A$6:$A$10,1)+1)-INDEX('Konstanten'!$B$6:$B$10,MATCH($I72,'Konstanten'!$A$6:$A$10,1))),INDEX('Konstanten'!$B$6:$B$10,MATCH($I72,'Konstanten'!$A$6:$A$10,1))),""))</f>
        <v/>
      </c>
      <c r="P72" s="62">
        <f>IF($B72="","",IFERROR(IFERROR(INDEX('Konstanten'!$C$6:$C$10,MATCH($I72,'Konstanten'!$A$6:$A$10,1))+($I72-INDEX('Konstanten'!$A$6:$A$10,MATCH($I72,'Konstanten'!$A$6:$A$10,1)))/(INDEX('Konstanten'!$A$6:$A$10,MATCH($I72,'Konstanten'!$A$6:$A$10,1)+1)-INDEX('Konstanten'!$A$6:$A$10,MATCH($I72,'Konstanten'!$A$6:$A$10,1)))*(INDEX('Konstanten'!$C$6:$C$10,MATCH($I72,'Konstanten'!$A$6:$A$10,1)+1)-INDEX('Konstanten'!$C$6:$C$10,MATCH($I72,'Konstanten'!$A$6:$A$10,1))),INDEX('Konstanten'!$C$6:$C$10,MATCH($I72,'Konstanten'!$A$6:$A$10,1))),""))</f>
        <v/>
      </c>
      <c r="Q72" s="63">
        <f>IF(OR($B72="",$N72="",$O72="",$P72=""),"",'Konstanten'!$C$13*$O72*$P72^(1-($J72/1000)/0.075)*'Konstanten'!$C$14^'Konstanten'!$C$16*'Konstanten'!$C$15^'Konstanten'!$C$17*$N72)</f>
        <v/>
      </c>
      <c r="R72" s="64">
        <f>IF(OR($B72="",$Q72=""),"",$E72+$Q72/'Grundeinstellungen'!$J$6)</f>
        <v/>
      </c>
      <c r="S72" s="64">
        <f>IF($B72="","",IFERROR(VLOOKUP($M72,'Konstanten'!$H$6:$I$13,2,FALSE),29))</f>
        <v/>
      </c>
      <c r="T72" s="65">
        <f>IF(OR($B72="",$Q72=""),"",$Q72*$H72)</f>
        <v/>
      </c>
      <c r="U72" s="66">
        <f>IF(OR($B72="",$T72=""),"",$T72-$F72)</f>
        <v/>
      </c>
      <c r="V72" s="67">
        <f>IF(OR($B72="",$T72=""),"",IFERROR($T72/$F72,""))</f>
        <v/>
      </c>
      <c r="W72" s="65">
        <f>IF(OR($B72="",$H72=""),"",'Grundeinstellungen'!$J$13*$H72)</f>
        <v/>
      </c>
      <c r="X72" s="65">
        <f>IF(OR($B72="",$T72=""),"",MIN($T72,$F72)+$W72)</f>
        <v/>
      </c>
      <c r="Y72" s="68">
        <f>IF($B72="","",IFERROR($H72/($J72/1000),""))</f>
        <v/>
      </c>
      <c r="Z72" s="68">
        <f>IF($B72="","",IFERROR(2*$L72*$K72,""))</f>
        <v/>
      </c>
      <c r="AA72" s="68">
        <f>IF(OR($B72="",$Y72="",$Z72=""),"",$Y72+$Z72)</f>
        <v/>
      </c>
      <c r="AB72" s="68">
        <f>IF(OR($B72="",$AA72=""),"",IFERROR($AA72/$K72,""))</f>
        <v/>
      </c>
      <c r="AC72" s="69">
        <f>IF(OR($B72="",$X72=""),"",IFERROR(($X72/$K72)/('Grundeinstellungen'!$C$16*('Grundeinstellungen'!$C$6-'Grundeinstellungen'!$C$7))*3600,""))</f>
        <v/>
      </c>
      <c r="AD72" s="70">
        <f>IF(OR($B72="",$AC72=""),"",$AC72/'Grundeinstellungen'!$C$15*1000)</f>
        <v/>
      </c>
      <c r="AE72" s="71">
        <f>IF(OR($B72="",$AC72=""),"",IFERROR($AC72/3600/'Grundeinstellungen'!$C$15/'Grundeinstellungen'!$J$22,""))</f>
        <v/>
      </c>
      <c r="AF72" s="72">
        <f>IF(OR($B72="",$AE72=""),"",IFERROR($AE72*'Grundeinstellungen'!$J$21/'Grundeinstellungen'!$C$17,""))</f>
        <v/>
      </c>
      <c r="AG72" s="73">
        <f>IF(OR($B72="",$AF72=""),"",IF($AF72&lt;2300,"laminar",IF($AF72&lt;4000,"Übergangsbereich","turbulent")))</f>
        <v/>
      </c>
      <c r="AH72" s="74">
        <f>IF(OR($B72="",$AF72=""),"",IF($AF72&lt;2300,64/$AF72,0.316/$AF72^0.25))</f>
        <v/>
      </c>
      <c r="AI72" s="75">
        <f>IF(OR($B72="",$AH72="",$AB72=""),"",IFERROR($AH72*($AB72/'Grundeinstellungen'!$J$21)*('Grundeinstellungen'!$C$15/2)*$AE72^2,""))</f>
        <v/>
      </c>
      <c r="AJ72" s="76">
        <f>IF(OR($B72="",$AI72="",$AB72=""),"",IFERROR($AI72/$AB72,""))</f>
        <v/>
      </c>
      <c r="AK72" s="75">
        <f>IF(OR($B72="",$AI72=""),"",$AI72*(1+'Grundeinstellungen'!$C$24)+'Grundeinstellungen'!$C$25)</f>
        <v/>
      </c>
    </row>
    <row r="73">
      <c r="A73" s="51" t="n"/>
      <c r="B73" s="51" t="n"/>
      <c r="C73" s="51" t="n"/>
      <c r="D73" s="52" t="n"/>
      <c r="E73" s="53" t="n"/>
      <c r="F73" s="54" t="n"/>
      <c r="G73" s="55">
        <f>IF($B73="","",IFERROR($F73/$D73,""))</f>
        <v/>
      </c>
      <c r="H73" s="52" t="n"/>
      <c r="I73" s="56" t="n"/>
      <c r="J73" s="57" t="n"/>
      <c r="K73" s="58" t="n"/>
      <c r="L73" s="59" t="n"/>
      <c r="M73" s="60" t="n"/>
      <c r="N73" s="61">
        <f>IF($B73="","",IFERROR(('Grundeinstellungen'!$C$6-'Grundeinstellungen'!$C$7)/LN(('Grundeinstellungen'!$C$6-$E73)/('Grundeinstellungen'!$C$7-$E73)),""))</f>
        <v/>
      </c>
      <c r="O73" s="62">
        <f>IF($B73="","",IFERROR(IFERROR(INDEX('Konstanten'!$B$6:$B$10,MATCH($I73,'Konstanten'!$A$6:$A$10,1))+($I73-INDEX('Konstanten'!$A$6:$A$10,MATCH($I73,'Konstanten'!$A$6:$A$10,1)))/(INDEX('Konstanten'!$A$6:$A$10,MATCH($I73,'Konstanten'!$A$6:$A$10,1)+1)-INDEX('Konstanten'!$A$6:$A$10,MATCH($I73,'Konstanten'!$A$6:$A$10,1)))*(INDEX('Konstanten'!$B$6:$B$10,MATCH($I73,'Konstanten'!$A$6:$A$10,1)+1)-INDEX('Konstanten'!$B$6:$B$10,MATCH($I73,'Konstanten'!$A$6:$A$10,1))),INDEX('Konstanten'!$B$6:$B$10,MATCH($I73,'Konstanten'!$A$6:$A$10,1))),""))</f>
        <v/>
      </c>
      <c r="P73" s="62">
        <f>IF($B73="","",IFERROR(IFERROR(INDEX('Konstanten'!$C$6:$C$10,MATCH($I73,'Konstanten'!$A$6:$A$10,1))+($I73-INDEX('Konstanten'!$A$6:$A$10,MATCH($I73,'Konstanten'!$A$6:$A$10,1)))/(INDEX('Konstanten'!$A$6:$A$10,MATCH($I73,'Konstanten'!$A$6:$A$10,1)+1)-INDEX('Konstanten'!$A$6:$A$10,MATCH($I73,'Konstanten'!$A$6:$A$10,1)))*(INDEX('Konstanten'!$C$6:$C$10,MATCH($I73,'Konstanten'!$A$6:$A$10,1)+1)-INDEX('Konstanten'!$C$6:$C$10,MATCH($I73,'Konstanten'!$A$6:$A$10,1))),INDEX('Konstanten'!$C$6:$C$10,MATCH($I73,'Konstanten'!$A$6:$A$10,1))),""))</f>
        <v/>
      </c>
      <c r="Q73" s="63">
        <f>IF(OR($B73="",$N73="",$O73="",$P73=""),"",'Konstanten'!$C$13*$O73*$P73^(1-($J73/1000)/0.075)*'Konstanten'!$C$14^'Konstanten'!$C$16*'Konstanten'!$C$15^'Konstanten'!$C$17*$N73)</f>
        <v/>
      </c>
      <c r="R73" s="64">
        <f>IF(OR($B73="",$Q73=""),"",$E73+$Q73/'Grundeinstellungen'!$J$6)</f>
        <v/>
      </c>
      <c r="S73" s="64">
        <f>IF($B73="","",IFERROR(VLOOKUP($M73,'Konstanten'!$H$6:$I$13,2,FALSE),29))</f>
        <v/>
      </c>
      <c r="T73" s="65">
        <f>IF(OR($B73="",$Q73=""),"",$Q73*$H73)</f>
        <v/>
      </c>
      <c r="U73" s="66">
        <f>IF(OR($B73="",$T73=""),"",$T73-$F73)</f>
        <v/>
      </c>
      <c r="V73" s="67">
        <f>IF(OR($B73="",$T73=""),"",IFERROR($T73/$F73,""))</f>
        <v/>
      </c>
      <c r="W73" s="65">
        <f>IF(OR($B73="",$H73=""),"",'Grundeinstellungen'!$J$13*$H73)</f>
        <v/>
      </c>
      <c r="X73" s="65">
        <f>IF(OR($B73="",$T73=""),"",MIN($T73,$F73)+$W73)</f>
        <v/>
      </c>
      <c r="Y73" s="68">
        <f>IF($B73="","",IFERROR($H73/($J73/1000),""))</f>
        <v/>
      </c>
      <c r="Z73" s="68">
        <f>IF($B73="","",IFERROR(2*$L73*$K73,""))</f>
        <v/>
      </c>
      <c r="AA73" s="68">
        <f>IF(OR($B73="",$Y73="",$Z73=""),"",$Y73+$Z73)</f>
        <v/>
      </c>
      <c r="AB73" s="68">
        <f>IF(OR($B73="",$AA73=""),"",IFERROR($AA73/$K73,""))</f>
        <v/>
      </c>
      <c r="AC73" s="69">
        <f>IF(OR($B73="",$X73=""),"",IFERROR(($X73/$K73)/('Grundeinstellungen'!$C$16*('Grundeinstellungen'!$C$6-'Grundeinstellungen'!$C$7))*3600,""))</f>
        <v/>
      </c>
      <c r="AD73" s="70">
        <f>IF(OR($B73="",$AC73=""),"",$AC73/'Grundeinstellungen'!$C$15*1000)</f>
        <v/>
      </c>
      <c r="AE73" s="71">
        <f>IF(OR($B73="",$AC73=""),"",IFERROR($AC73/3600/'Grundeinstellungen'!$C$15/'Grundeinstellungen'!$J$22,""))</f>
        <v/>
      </c>
      <c r="AF73" s="72">
        <f>IF(OR($B73="",$AE73=""),"",IFERROR($AE73*'Grundeinstellungen'!$J$21/'Grundeinstellungen'!$C$17,""))</f>
        <v/>
      </c>
      <c r="AG73" s="73">
        <f>IF(OR($B73="",$AF73=""),"",IF($AF73&lt;2300,"laminar",IF($AF73&lt;4000,"Übergangsbereich","turbulent")))</f>
        <v/>
      </c>
      <c r="AH73" s="74">
        <f>IF(OR($B73="",$AF73=""),"",IF($AF73&lt;2300,64/$AF73,0.316/$AF73^0.25))</f>
        <v/>
      </c>
      <c r="AI73" s="75">
        <f>IF(OR($B73="",$AH73="",$AB73=""),"",IFERROR($AH73*($AB73/'Grundeinstellungen'!$J$21)*('Grundeinstellungen'!$C$15/2)*$AE73^2,""))</f>
        <v/>
      </c>
      <c r="AJ73" s="76">
        <f>IF(OR($B73="",$AI73="",$AB73=""),"",IFERROR($AI73/$AB73,""))</f>
        <v/>
      </c>
      <c r="AK73" s="75">
        <f>IF(OR($B73="",$AI73=""),"",$AI73*(1+'Grundeinstellungen'!$C$24)+'Grundeinstellungen'!$C$25)</f>
        <v/>
      </c>
    </row>
    <row r="74">
      <c r="A74" s="51" t="n"/>
      <c r="B74" s="51" t="n"/>
      <c r="C74" s="51" t="n"/>
      <c r="D74" s="52" t="n"/>
      <c r="E74" s="53" t="n"/>
      <c r="F74" s="54" t="n"/>
      <c r="G74" s="55">
        <f>IF($B74="","",IFERROR($F74/$D74,""))</f>
        <v/>
      </c>
      <c r="H74" s="52" t="n"/>
      <c r="I74" s="56" t="n"/>
      <c r="J74" s="57" t="n"/>
      <c r="K74" s="58" t="n"/>
      <c r="L74" s="59" t="n"/>
      <c r="M74" s="60" t="n"/>
      <c r="N74" s="61">
        <f>IF($B74="","",IFERROR(('Grundeinstellungen'!$C$6-'Grundeinstellungen'!$C$7)/LN(('Grundeinstellungen'!$C$6-$E74)/('Grundeinstellungen'!$C$7-$E74)),""))</f>
        <v/>
      </c>
      <c r="O74" s="62">
        <f>IF($B74="","",IFERROR(IFERROR(INDEX('Konstanten'!$B$6:$B$10,MATCH($I74,'Konstanten'!$A$6:$A$10,1))+($I74-INDEX('Konstanten'!$A$6:$A$10,MATCH($I74,'Konstanten'!$A$6:$A$10,1)))/(INDEX('Konstanten'!$A$6:$A$10,MATCH($I74,'Konstanten'!$A$6:$A$10,1)+1)-INDEX('Konstanten'!$A$6:$A$10,MATCH($I74,'Konstanten'!$A$6:$A$10,1)))*(INDEX('Konstanten'!$B$6:$B$10,MATCH($I74,'Konstanten'!$A$6:$A$10,1)+1)-INDEX('Konstanten'!$B$6:$B$10,MATCH($I74,'Konstanten'!$A$6:$A$10,1))),INDEX('Konstanten'!$B$6:$B$10,MATCH($I74,'Konstanten'!$A$6:$A$10,1))),""))</f>
        <v/>
      </c>
      <c r="P74" s="62">
        <f>IF($B74="","",IFERROR(IFERROR(INDEX('Konstanten'!$C$6:$C$10,MATCH($I74,'Konstanten'!$A$6:$A$10,1))+($I74-INDEX('Konstanten'!$A$6:$A$10,MATCH($I74,'Konstanten'!$A$6:$A$10,1)))/(INDEX('Konstanten'!$A$6:$A$10,MATCH($I74,'Konstanten'!$A$6:$A$10,1)+1)-INDEX('Konstanten'!$A$6:$A$10,MATCH($I74,'Konstanten'!$A$6:$A$10,1)))*(INDEX('Konstanten'!$C$6:$C$10,MATCH($I74,'Konstanten'!$A$6:$A$10,1)+1)-INDEX('Konstanten'!$C$6:$C$10,MATCH($I74,'Konstanten'!$A$6:$A$10,1))),INDEX('Konstanten'!$C$6:$C$10,MATCH($I74,'Konstanten'!$A$6:$A$10,1))),""))</f>
        <v/>
      </c>
      <c r="Q74" s="63">
        <f>IF(OR($B74="",$N74="",$O74="",$P74=""),"",'Konstanten'!$C$13*$O74*$P74^(1-($J74/1000)/0.075)*'Konstanten'!$C$14^'Konstanten'!$C$16*'Konstanten'!$C$15^'Konstanten'!$C$17*$N74)</f>
        <v/>
      </c>
      <c r="R74" s="64">
        <f>IF(OR($B74="",$Q74=""),"",$E74+$Q74/'Grundeinstellungen'!$J$6)</f>
        <v/>
      </c>
      <c r="S74" s="64">
        <f>IF($B74="","",IFERROR(VLOOKUP($M74,'Konstanten'!$H$6:$I$13,2,FALSE),29))</f>
        <v/>
      </c>
      <c r="T74" s="65">
        <f>IF(OR($B74="",$Q74=""),"",$Q74*$H74)</f>
        <v/>
      </c>
      <c r="U74" s="66">
        <f>IF(OR($B74="",$T74=""),"",$T74-$F74)</f>
        <v/>
      </c>
      <c r="V74" s="67">
        <f>IF(OR($B74="",$T74=""),"",IFERROR($T74/$F74,""))</f>
        <v/>
      </c>
      <c r="W74" s="65">
        <f>IF(OR($B74="",$H74=""),"",'Grundeinstellungen'!$J$13*$H74)</f>
        <v/>
      </c>
      <c r="X74" s="65">
        <f>IF(OR($B74="",$T74=""),"",MIN($T74,$F74)+$W74)</f>
        <v/>
      </c>
      <c r="Y74" s="68">
        <f>IF($B74="","",IFERROR($H74/($J74/1000),""))</f>
        <v/>
      </c>
      <c r="Z74" s="68">
        <f>IF($B74="","",IFERROR(2*$L74*$K74,""))</f>
        <v/>
      </c>
      <c r="AA74" s="68">
        <f>IF(OR($B74="",$Y74="",$Z74=""),"",$Y74+$Z74)</f>
        <v/>
      </c>
      <c r="AB74" s="68">
        <f>IF(OR($B74="",$AA74=""),"",IFERROR($AA74/$K74,""))</f>
        <v/>
      </c>
      <c r="AC74" s="69">
        <f>IF(OR($B74="",$X74=""),"",IFERROR(($X74/$K74)/('Grundeinstellungen'!$C$16*('Grundeinstellungen'!$C$6-'Grundeinstellungen'!$C$7))*3600,""))</f>
        <v/>
      </c>
      <c r="AD74" s="70">
        <f>IF(OR($B74="",$AC74=""),"",$AC74/'Grundeinstellungen'!$C$15*1000)</f>
        <v/>
      </c>
      <c r="AE74" s="71">
        <f>IF(OR($B74="",$AC74=""),"",IFERROR($AC74/3600/'Grundeinstellungen'!$C$15/'Grundeinstellungen'!$J$22,""))</f>
        <v/>
      </c>
      <c r="AF74" s="72">
        <f>IF(OR($B74="",$AE74=""),"",IFERROR($AE74*'Grundeinstellungen'!$J$21/'Grundeinstellungen'!$C$17,""))</f>
        <v/>
      </c>
      <c r="AG74" s="73">
        <f>IF(OR($B74="",$AF74=""),"",IF($AF74&lt;2300,"laminar",IF($AF74&lt;4000,"Übergangsbereich","turbulent")))</f>
        <v/>
      </c>
      <c r="AH74" s="74">
        <f>IF(OR($B74="",$AF74=""),"",IF($AF74&lt;2300,64/$AF74,0.316/$AF74^0.25))</f>
        <v/>
      </c>
      <c r="AI74" s="75">
        <f>IF(OR($B74="",$AH74="",$AB74=""),"",IFERROR($AH74*($AB74/'Grundeinstellungen'!$J$21)*('Grundeinstellungen'!$C$15/2)*$AE74^2,""))</f>
        <v/>
      </c>
      <c r="AJ74" s="76">
        <f>IF(OR($B74="",$AI74="",$AB74=""),"",IFERROR($AI74/$AB74,""))</f>
        <v/>
      </c>
      <c r="AK74" s="75">
        <f>IF(OR($B74="",$AI74=""),"",$AI74*(1+'Grundeinstellungen'!$C$24)+'Grundeinstellungen'!$C$25)</f>
        <v/>
      </c>
    </row>
    <row r="75">
      <c r="A75" s="51" t="n"/>
      <c r="B75" s="51" t="n"/>
      <c r="C75" s="51" t="n"/>
      <c r="D75" s="52" t="n"/>
      <c r="E75" s="53" t="n"/>
      <c r="F75" s="54" t="n"/>
      <c r="G75" s="55">
        <f>IF($B75="","",IFERROR($F75/$D75,""))</f>
        <v/>
      </c>
      <c r="H75" s="52" t="n"/>
      <c r="I75" s="56" t="n"/>
      <c r="J75" s="57" t="n"/>
      <c r="K75" s="58" t="n"/>
      <c r="L75" s="59" t="n"/>
      <c r="M75" s="60" t="n"/>
      <c r="N75" s="61">
        <f>IF($B75="","",IFERROR(('Grundeinstellungen'!$C$6-'Grundeinstellungen'!$C$7)/LN(('Grundeinstellungen'!$C$6-$E75)/('Grundeinstellungen'!$C$7-$E75)),""))</f>
        <v/>
      </c>
      <c r="O75" s="62">
        <f>IF($B75="","",IFERROR(IFERROR(INDEX('Konstanten'!$B$6:$B$10,MATCH($I75,'Konstanten'!$A$6:$A$10,1))+($I75-INDEX('Konstanten'!$A$6:$A$10,MATCH($I75,'Konstanten'!$A$6:$A$10,1)))/(INDEX('Konstanten'!$A$6:$A$10,MATCH($I75,'Konstanten'!$A$6:$A$10,1)+1)-INDEX('Konstanten'!$A$6:$A$10,MATCH($I75,'Konstanten'!$A$6:$A$10,1)))*(INDEX('Konstanten'!$B$6:$B$10,MATCH($I75,'Konstanten'!$A$6:$A$10,1)+1)-INDEX('Konstanten'!$B$6:$B$10,MATCH($I75,'Konstanten'!$A$6:$A$10,1))),INDEX('Konstanten'!$B$6:$B$10,MATCH($I75,'Konstanten'!$A$6:$A$10,1))),""))</f>
        <v/>
      </c>
      <c r="P75" s="62">
        <f>IF($B75="","",IFERROR(IFERROR(INDEX('Konstanten'!$C$6:$C$10,MATCH($I75,'Konstanten'!$A$6:$A$10,1))+($I75-INDEX('Konstanten'!$A$6:$A$10,MATCH($I75,'Konstanten'!$A$6:$A$10,1)))/(INDEX('Konstanten'!$A$6:$A$10,MATCH($I75,'Konstanten'!$A$6:$A$10,1)+1)-INDEX('Konstanten'!$A$6:$A$10,MATCH($I75,'Konstanten'!$A$6:$A$10,1)))*(INDEX('Konstanten'!$C$6:$C$10,MATCH($I75,'Konstanten'!$A$6:$A$10,1)+1)-INDEX('Konstanten'!$C$6:$C$10,MATCH($I75,'Konstanten'!$A$6:$A$10,1))),INDEX('Konstanten'!$C$6:$C$10,MATCH($I75,'Konstanten'!$A$6:$A$10,1))),""))</f>
        <v/>
      </c>
      <c r="Q75" s="63">
        <f>IF(OR($B75="",$N75="",$O75="",$P75=""),"",'Konstanten'!$C$13*$O75*$P75^(1-($J75/1000)/0.075)*'Konstanten'!$C$14^'Konstanten'!$C$16*'Konstanten'!$C$15^'Konstanten'!$C$17*$N75)</f>
        <v/>
      </c>
      <c r="R75" s="64">
        <f>IF(OR($B75="",$Q75=""),"",$E75+$Q75/'Grundeinstellungen'!$J$6)</f>
        <v/>
      </c>
      <c r="S75" s="64">
        <f>IF($B75="","",IFERROR(VLOOKUP($M75,'Konstanten'!$H$6:$I$13,2,FALSE),29))</f>
        <v/>
      </c>
      <c r="T75" s="65">
        <f>IF(OR($B75="",$Q75=""),"",$Q75*$H75)</f>
        <v/>
      </c>
      <c r="U75" s="66">
        <f>IF(OR($B75="",$T75=""),"",$T75-$F75)</f>
        <v/>
      </c>
      <c r="V75" s="67">
        <f>IF(OR($B75="",$T75=""),"",IFERROR($T75/$F75,""))</f>
        <v/>
      </c>
      <c r="W75" s="65">
        <f>IF(OR($B75="",$H75=""),"",'Grundeinstellungen'!$J$13*$H75)</f>
        <v/>
      </c>
      <c r="X75" s="65">
        <f>IF(OR($B75="",$T75=""),"",MIN($T75,$F75)+$W75)</f>
        <v/>
      </c>
      <c r="Y75" s="68">
        <f>IF($B75="","",IFERROR($H75/($J75/1000),""))</f>
        <v/>
      </c>
      <c r="Z75" s="68">
        <f>IF($B75="","",IFERROR(2*$L75*$K75,""))</f>
        <v/>
      </c>
      <c r="AA75" s="68">
        <f>IF(OR($B75="",$Y75="",$Z75=""),"",$Y75+$Z75)</f>
        <v/>
      </c>
      <c r="AB75" s="68">
        <f>IF(OR($B75="",$AA75=""),"",IFERROR($AA75/$K75,""))</f>
        <v/>
      </c>
      <c r="AC75" s="69">
        <f>IF(OR($B75="",$X75=""),"",IFERROR(($X75/$K75)/('Grundeinstellungen'!$C$16*('Grundeinstellungen'!$C$6-'Grundeinstellungen'!$C$7))*3600,""))</f>
        <v/>
      </c>
      <c r="AD75" s="70">
        <f>IF(OR($B75="",$AC75=""),"",$AC75/'Grundeinstellungen'!$C$15*1000)</f>
        <v/>
      </c>
      <c r="AE75" s="71">
        <f>IF(OR($B75="",$AC75=""),"",IFERROR($AC75/3600/'Grundeinstellungen'!$C$15/'Grundeinstellungen'!$J$22,""))</f>
        <v/>
      </c>
      <c r="AF75" s="72">
        <f>IF(OR($B75="",$AE75=""),"",IFERROR($AE75*'Grundeinstellungen'!$J$21/'Grundeinstellungen'!$C$17,""))</f>
        <v/>
      </c>
      <c r="AG75" s="73">
        <f>IF(OR($B75="",$AF75=""),"",IF($AF75&lt;2300,"laminar",IF($AF75&lt;4000,"Übergangsbereich","turbulent")))</f>
        <v/>
      </c>
      <c r="AH75" s="74">
        <f>IF(OR($B75="",$AF75=""),"",IF($AF75&lt;2300,64/$AF75,0.316/$AF75^0.25))</f>
        <v/>
      </c>
      <c r="AI75" s="75">
        <f>IF(OR($B75="",$AH75="",$AB75=""),"",IFERROR($AH75*($AB75/'Grundeinstellungen'!$J$21)*('Grundeinstellungen'!$C$15/2)*$AE75^2,""))</f>
        <v/>
      </c>
      <c r="AJ75" s="76">
        <f>IF(OR($B75="",$AI75="",$AB75=""),"",IFERROR($AI75/$AB75,""))</f>
        <v/>
      </c>
      <c r="AK75" s="75">
        <f>IF(OR($B75="",$AI75=""),"",$AI75*(1+'Grundeinstellungen'!$C$24)+'Grundeinstellungen'!$C$25)</f>
        <v/>
      </c>
    </row>
    <row r="76">
      <c r="A76" s="51" t="n"/>
      <c r="B76" s="51" t="n"/>
      <c r="C76" s="51" t="n"/>
      <c r="D76" s="52" t="n"/>
      <c r="E76" s="53" t="n"/>
      <c r="F76" s="54" t="n"/>
      <c r="G76" s="55">
        <f>IF($B76="","",IFERROR($F76/$D76,""))</f>
        <v/>
      </c>
      <c r="H76" s="52" t="n"/>
      <c r="I76" s="56" t="n"/>
      <c r="J76" s="57" t="n"/>
      <c r="K76" s="58" t="n"/>
      <c r="L76" s="59" t="n"/>
      <c r="M76" s="60" t="n"/>
      <c r="N76" s="61">
        <f>IF($B76="","",IFERROR(('Grundeinstellungen'!$C$6-'Grundeinstellungen'!$C$7)/LN(('Grundeinstellungen'!$C$6-$E76)/('Grundeinstellungen'!$C$7-$E76)),""))</f>
        <v/>
      </c>
      <c r="O76" s="62">
        <f>IF($B76="","",IFERROR(IFERROR(INDEX('Konstanten'!$B$6:$B$10,MATCH($I76,'Konstanten'!$A$6:$A$10,1))+($I76-INDEX('Konstanten'!$A$6:$A$10,MATCH($I76,'Konstanten'!$A$6:$A$10,1)))/(INDEX('Konstanten'!$A$6:$A$10,MATCH($I76,'Konstanten'!$A$6:$A$10,1)+1)-INDEX('Konstanten'!$A$6:$A$10,MATCH($I76,'Konstanten'!$A$6:$A$10,1)))*(INDEX('Konstanten'!$B$6:$B$10,MATCH($I76,'Konstanten'!$A$6:$A$10,1)+1)-INDEX('Konstanten'!$B$6:$B$10,MATCH($I76,'Konstanten'!$A$6:$A$10,1))),INDEX('Konstanten'!$B$6:$B$10,MATCH($I76,'Konstanten'!$A$6:$A$10,1))),""))</f>
        <v/>
      </c>
      <c r="P76" s="62">
        <f>IF($B76="","",IFERROR(IFERROR(INDEX('Konstanten'!$C$6:$C$10,MATCH($I76,'Konstanten'!$A$6:$A$10,1))+($I76-INDEX('Konstanten'!$A$6:$A$10,MATCH($I76,'Konstanten'!$A$6:$A$10,1)))/(INDEX('Konstanten'!$A$6:$A$10,MATCH($I76,'Konstanten'!$A$6:$A$10,1)+1)-INDEX('Konstanten'!$A$6:$A$10,MATCH($I76,'Konstanten'!$A$6:$A$10,1)))*(INDEX('Konstanten'!$C$6:$C$10,MATCH($I76,'Konstanten'!$A$6:$A$10,1)+1)-INDEX('Konstanten'!$C$6:$C$10,MATCH($I76,'Konstanten'!$A$6:$A$10,1))),INDEX('Konstanten'!$C$6:$C$10,MATCH($I76,'Konstanten'!$A$6:$A$10,1))),""))</f>
        <v/>
      </c>
      <c r="Q76" s="63">
        <f>IF(OR($B76="",$N76="",$O76="",$P76=""),"",'Konstanten'!$C$13*$O76*$P76^(1-($J76/1000)/0.075)*'Konstanten'!$C$14^'Konstanten'!$C$16*'Konstanten'!$C$15^'Konstanten'!$C$17*$N76)</f>
        <v/>
      </c>
      <c r="R76" s="64">
        <f>IF(OR($B76="",$Q76=""),"",$E76+$Q76/'Grundeinstellungen'!$J$6)</f>
        <v/>
      </c>
      <c r="S76" s="64">
        <f>IF($B76="","",IFERROR(VLOOKUP($M76,'Konstanten'!$H$6:$I$13,2,FALSE),29))</f>
        <v/>
      </c>
      <c r="T76" s="65">
        <f>IF(OR($B76="",$Q76=""),"",$Q76*$H76)</f>
        <v/>
      </c>
      <c r="U76" s="66">
        <f>IF(OR($B76="",$T76=""),"",$T76-$F76)</f>
        <v/>
      </c>
      <c r="V76" s="67">
        <f>IF(OR($B76="",$T76=""),"",IFERROR($T76/$F76,""))</f>
        <v/>
      </c>
      <c r="W76" s="65">
        <f>IF(OR($B76="",$H76=""),"",'Grundeinstellungen'!$J$13*$H76)</f>
        <v/>
      </c>
      <c r="X76" s="65">
        <f>IF(OR($B76="",$T76=""),"",MIN($T76,$F76)+$W76)</f>
        <v/>
      </c>
      <c r="Y76" s="68">
        <f>IF($B76="","",IFERROR($H76/($J76/1000),""))</f>
        <v/>
      </c>
      <c r="Z76" s="68">
        <f>IF($B76="","",IFERROR(2*$L76*$K76,""))</f>
        <v/>
      </c>
      <c r="AA76" s="68">
        <f>IF(OR($B76="",$Y76="",$Z76=""),"",$Y76+$Z76)</f>
        <v/>
      </c>
      <c r="AB76" s="68">
        <f>IF(OR($B76="",$AA76=""),"",IFERROR($AA76/$K76,""))</f>
        <v/>
      </c>
      <c r="AC76" s="69">
        <f>IF(OR($B76="",$X76=""),"",IFERROR(($X76/$K76)/('Grundeinstellungen'!$C$16*('Grundeinstellungen'!$C$6-'Grundeinstellungen'!$C$7))*3600,""))</f>
        <v/>
      </c>
      <c r="AD76" s="70">
        <f>IF(OR($B76="",$AC76=""),"",$AC76/'Grundeinstellungen'!$C$15*1000)</f>
        <v/>
      </c>
      <c r="AE76" s="71">
        <f>IF(OR($B76="",$AC76=""),"",IFERROR($AC76/3600/'Grundeinstellungen'!$C$15/'Grundeinstellungen'!$J$22,""))</f>
        <v/>
      </c>
      <c r="AF76" s="72">
        <f>IF(OR($B76="",$AE76=""),"",IFERROR($AE76*'Grundeinstellungen'!$J$21/'Grundeinstellungen'!$C$17,""))</f>
        <v/>
      </c>
      <c r="AG76" s="73">
        <f>IF(OR($B76="",$AF76=""),"",IF($AF76&lt;2300,"laminar",IF($AF76&lt;4000,"Übergangsbereich","turbulent")))</f>
        <v/>
      </c>
      <c r="AH76" s="74">
        <f>IF(OR($B76="",$AF76=""),"",IF($AF76&lt;2300,64/$AF76,0.316/$AF76^0.25))</f>
        <v/>
      </c>
      <c r="AI76" s="75">
        <f>IF(OR($B76="",$AH76="",$AB76=""),"",IFERROR($AH76*($AB76/'Grundeinstellungen'!$J$21)*('Grundeinstellungen'!$C$15/2)*$AE76^2,""))</f>
        <v/>
      </c>
      <c r="AJ76" s="76">
        <f>IF(OR($B76="",$AI76="",$AB76=""),"",IFERROR($AI76/$AB76,""))</f>
        <v/>
      </c>
      <c r="AK76" s="75">
        <f>IF(OR($B76="",$AI76=""),"",$AI76*(1+'Grundeinstellungen'!$C$24)+'Grundeinstellungen'!$C$25)</f>
        <v/>
      </c>
    </row>
    <row r="77">
      <c r="A77" s="51" t="n"/>
      <c r="B77" s="51" t="n"/>
      <c r="C77" s="51" t="n"/>
      <c r="D77" s="52" t="n"/>
      <c r="E77" s="53" t="n"/>
      <c r="F77" s="54" t="n"/>
      <c r="G77" s="55">
        <f>IF($B77="","",IFERROR($F77/$D77,""))</f>
        <v/>
      </c>
      <c r="H77" s="52" t="n"/>
      <c r="I77" s="56" t="n"/>
      <c r="J77" s="57" t="n"/>
      <c r="K77" s="58" t="n"/>
      <c r="L77" s="59" t="n"/>
      <c r="M77" s="60" t="n"/>
      <c r="N77" s="61">
        <f>IF($B77="","",IFERROR(('Grundeinstellungen'!$C$6-'Grundeinstellungen'!$C$7)/LN(('Grundeinstellungen'!$C$6-$E77)/('Grundeinstellungen'!$C$7-$E77)),""))</f>
        <v/>
      </c>
      <c r="O77" s="62">
        <f>IF($B77="","",IFERROR(IFERROR(INDEX('Konstanten'!$B$6:$B$10,MATCH($I77,'Konstanten'!$A$6:$A$10,1))+($I77-INDEX('Konstanten'!$A$6:$A$10,MATCH($I77,'Konstanten'!$A$6:$A$10,1)))/(INDEX('Konstanten'!$A$6:$A$10,MATCH($I77,'Konstanten'!$A$6:$A$10,1)+1)-INDEX('Konstanten'!$A$6:$A$10,MATCH($I77,'Konstanten'!$A$6:$A$10,1)))*(INDEX('Konstanten'!$B$6:$B$10,MATCH($I77,'Konstanten'!$A$6:$A$10,1)+1)-INDEX('Konstanten'!$B$6:$B$10,MATCH($I77,'Konstanten'!$A$6:$A$10,1))),INDEX('Konstanten'!$B$6:$B$10,MATCH($I77,'Konstanten'!$A$6:$A$10,1))),""))</f>
        <v/>
      </c>
      <c r="P77" s="62">
        <f>IF($B77="","",IFERROR(IFERROR(INDEX('Konstanten'!$C$6:$C$10,MATCH($I77,'Konstanten'!$A$6:$A$10,1))+($I77-INDEX('Konstanten'!$A$6:$A$10,MATCH($I77,'Konstanten'!$A$6:$A$10,1)))/(INDEX('Konstanten'!$A$6:$A$10,MATCH($I77,'Konstanten'!$A$6:$A$10,1)+1)-INDEX('Konstanten'!$A$6:$A$10,MATCH($I77,'Konstanten'!$A$6:$A$10,1)))*(INDEX('Konstanten'!$C$6:$C$10,MATCH($I77,'Konstanten'!$A$6:$A$10,1)+1)-INDEX('Konstanten'!$C$6:$C$10,MATCH($I77,'Konstanten'!$A$6:$A$10,1))),INDEX('Konstanten'!$C$6:$C$10,MATCH($I77,'Konstanten'!$A$6:$A$10,1))),""))</f>
        <v/>
      </c>
      <c r="Q77" s="63">
        <f>IF(OR($B77="",$N77="",$O77="",$P77=""),"",'Konstanten'!$C$13*$O77*$P77^(1-($J77/1000)/0.075)*'Konstanten'!$C$14^'Konstanten'!$C$16*'Konstanten'!$C$15^'Konstanten'!$C$17*$N77)</f>
        <v/>
      </c>
      <c r="R77" s="64">
        <f>IF(OR($B77="",$Q77=""),"",$E77+$Q77/'Grundeinstellungen'!$J$6)</f>
        <v/>
      </c>
      <c r="S77" s="64">
        <f>IF($B77="","",IFERROR(VLOOKUP($M77,'Konstanten'!$H$6:$I$13,2,FALSE),29))</f>
        <v/>
      </c>
      <c r="T77" s="65">
        <f>IF(OR($B77="",$Q77=""),"",$Q77*$H77)</f>
        <v/>
      </c>
      <c r="U77" s="66">
        <f>IF(OR($B77="",$T77=""),"",$T77-$F77)</f>
        <v/>
      </c>
      <c r="V77" s="67">
        <f>IF(OR($B77="",$T77=""),"",IFERROR($T77/$F77,""))</f>
        <v/>
      </c>
      <c r="W77" s="65">
        <f>IF(OR($B77="",$H77=""),"",'Grundeinstellungen'!$J$13*$H77)</f>
        <v/>
      </c>
      <c r="X77" s="65">
        <f>IF(OR($B77="",$T77=""),"",MIN($T77,$F77)+$W77)</f>
        <v/>
      </c>
      <c r="Y77" s="68">
        <f>IF($B77="","",IFERROR($H77/($J77/1000),""))</f>
        <v/>
      </c>
      <c r="Z77" s="68">
        <f>IF($B77="","",IFERROR(2*$L77*$K77,""))</f>
        <v/>
      </c>
      <c r="AA77" s="68">
        <f>IF(OR($B77="",$Y77="",$Z77=""),"",$Y77+$Z77)</f>
        <v/>
      </c>
      <c r="AB77" s="68">
        <f>IF(OR($B77="",$AA77=""),"",IFERROR($AA77/$K77,""))</f>
        <v/>
      </c>
      <c r="AC77" s="69">
        <f>IF(OR($B77="",$X77=""),"",IFERROR(($X77/$K77)/('Grundeinstellungen'!$C$16*('Grundeinstellungen'!$C$6-'Grundeinstellungen'!$C$7))*3600,""))</f>
        <v/>
      </c>
      <c r="AD77" s="70">
        <f>IF(OR($B77="",$AC77=""),"",$AC77/'Grundeinstellungen'!$C$15*1000)</f>
        <v/>
      </c>
      <c r="AE77" s="71">
        <f>IF(OR($B77="",$AC77=""),"",IFERROR($AC77/3600/'Grundeinstellungen'!$C$15/'Grundeinstellungen'!$J$22,""))</f>
        <v/>
      </c>
      <c r="AF77" s="72">
        <f>IF(OR($B77="",$AE77=""),"",IFERROR($AE77*'Grundeinstellungen'!$J$21/'Grundeinstellungen'!$C$17,""))</f>
        <v/>
      </c>
      <c r="AG77" s="73">
        <f>IF(OR($B77="",$AF77=""),"",IF($AF77&lt;2300,"laminar",IF($AF77&lt;4000,"Übergangsbereich","turbulent")))</f>
        <v/>
      </c>
      <c r="AH77" s="74">
        <f>IF(OR($B77="",$AF77=""),"",IF($AF77&lt;2300,64/$AF77,0.316/$AF77^0.25))</f>
        <v/>
      </c>
      <c r="AI77" s="75">
        <f>IF(OR($B77="",$AH77="",$AB77=""),"",IFERROR($AH77*($AB77/'Grundeinstellungen'!$J$21)*('Grundeinstellungen'!$C$15/2)*$AE77^2,""))</f>
        <v/>
      </c>
      <c r="AJ77" s="76">
        <f>IF(OR($B77="",$AI77="",$AB77=""),"",IFERROR($AI77/$AB77,""))</f>
        <v/>
      </c>
      <c r="AK77" s="75">
        <f>IF(OR($B77="",$AI77=""),"",$AI77*(1+'Grundeinstellungen'!$C$24)+'Grundeinstellungen'!$C$25)</f>
        <v/>
      </c>
    </row>
    <row r="78">
      <c r="A78" s="51" t="n"/>
      <c r="B78" s="51" t="n"/>
      <c r="C78" s="51" t="n"/>
      <c r="D78" s="52" t="n"/>
      <c r="E78" s="53" t="n"/>
      <c r="F78" s="54" t="n"/>
      <c r="G78" s="55">
        <f>IF($B78="","",IFERROR($F78/$D78,""))</f>
        <v/>
      </c>
      <c r="H78" s="52" t="n"/>
      <c r="I78" s="56" t="n"/>
      <c r="J78" s="57" t="n"/>
      <c r="K78" s="58" t="n"/>
      <c r="L78" s="59" t="n"/>
      <c r="M78" s="60" t="n"/>
      <c r="N78" s="61">
        <f>IF($B78="","",IFERROR(('Grundeinstellungen'!$C$6-'Grundeinstellungen'!$C$7)/LN(('Grundeinstellungen'!$C$6-$E78)/('Grundeinstellungen'!$C$7-$E78)),""))</f>
        <v/>
      </c>
      <c r="O78" s="62">
        <f>IF($B78="","",IFERROR(IFERROR(INDEX('Konstanten'!$B$6:$B$10,MATCH($I78,'Konstanten'!$A$6:$A$10,1))+($I78-INDEX('Konstanten'!$A$6:$A$10,MATCH($I78,'Konstanten'!$A$6:$A$10,1)))/(INDEX('Konstanten'!$A$6:$A$10,MATCH($I78,'Konstanten'!$A$6:$A$10,1)+1)-INDEX('Konstanten'!$A$6:$A$10,MATCH($I78,'Konstanten'!$A$6:$A$10,1)))*(INDEX('Konstanten'!$B$6:$B$10,MATCH($I78,'Konstanten'!$A$6:$A$10,1)+1)-INDEX('Konstanten'!$B$6:$B$10,MATCH($I78,'Konstanten'!$A$6:$A$10,1))),INDEX('Konstanten'!$B$6:$B$10,MATCH($I78,'Konstanten'!$A$6:$A$10,1))),""))</f>
        <v/>
      </c>
      <c r="P78" s="62">
        <f>IF($B78="","",IFERROR(IFERROR(INDEX('Konstanten'!$C$6:$C$10,MATCH($I78,'Konstanten'!$A$6:$A$10,1))+($I78-INDEX('Konstanten'!$A$6:$A$10,MATCH($I78,'Konstanten'!$A$6:$A$10,1)))/(INDEX('Konstanten'!$A$6:$A$10,MATCH($I78,'Konstanten'!$A$6:$A$10,1)+1)-INDEX('Konstanten'!$A$6:$A$10,MATCH($I78,'Konstanten'!$A$6:$A$10,1)))*(INDEX('Konstanten'!$C$6:$C$10,MATCH($I78,'Konstanten'!$A$6:$A$10,1)+1)-INDEX('Konstanten'!$C$6:$C$10,MATCH($I78,'Konstanten'!$A$6:$A$10,1))),INDEX('Konstanten'!$C$6:$C$10,MATCH($I78,'Konstanten'!$A$6:$A$10,1))),""))</f>
        <v/>
      </c>
      <c r="Q78" s="63">
        <f>IF(OR($B78="",$N78="",$O78="",$P78=""),"",'Konstanten'!$C$13*$O78*$P78^(1-($J78/1000)/0.075)*'Konstanten'!$C$14^'Konstanten'!$C$16*'Konstanten'!$C$15^'Konstanten'!$C$17*$N78)</f>
        <v/>
      </c>
      <c r="R78" s="64">
        <f>IF(OR($B78="",$Q78=""),"",$E78+$Q78/'Grundeinstellungen'!$J$6)</f>
        <v/>
      </c>
      <c r="S78" s="64">
        <f>IF($B78="","",IFERROR(VLOOKUP($M78,'Konstanten'!$H$6:$I$13,2,FALSE),29))</f>
        <v/>
      </c>
      <c r="T78" s="65">
        <f>IF(OR($B78="",$Q78=""),"",$Q78*$H78)</f>
        <v/>
      </c>
      <c r="U78" s="66">
        <f>IF(OR($B78="",$T78=""),"",$T78-$F78)</f>
        <v/>
      </c>
      <c r="V78" s="67">
        <f>IF(OR($B78="",$T78=""),"",IFERROR($T78/$F78,""))</f>
        <v/>
      </c>
      <c r="W78" s="65">
        <f>IF(OR($B78="",$H78=""),"",'Grundeinstellungen'!$J$13*$H78)</f>
        <v/>
      </c>
      <c r="X78" s="65">
        <f>IF(OR($B78="",$T78=""),"",MIN($T78,$F78)+$W78)</f>
        <v/>
      </c>
      <c r="Y78" s="68">
        <f>IF($B78="","",IFERROR($H78/($J78/1000),""))</f>
        <v/>
      </c>
      <c r="Z78" s="68">
        <f>IF($B78="","",IFERROR(2*$L78*$K78,""))</f>
        <v/>
      </c>
      <c r="AA78" s="68">
        <f>IF(OR($B78="",$Y78="",$Z78=""),"",$Y78+$Z78)</f>
        <v/>
      </c>
      <c r="AB78" s="68">
        <f>IF(OR($B78="",$AA78=""),"",IFERROR($AA78/$K78,""))</f>
        <v/>
      </c>
      <c r="AC78" s="69">
        <f>IF(OR($B78="",$X78=""),"",IFERROR(($X78/$K78)/('Grundeinstellungen'!$C$16*('Grundeinstellungen'!$C$6-'Grundeinstellungen'!$C$7))*3600,""))</f>
        <v/>
      </c>
      <c r="AD78" s="70">
        <f>IF(OR($B78="",$AC78=""),"",$AC78/'Grundeinstellungen'!$C$15*1000)</f>
        <v/>
      </c>
      <c r="AE78" s="71">
        <f>IF(OR($B78="",$AC78=""),"",IFERROR($AC78/3600/'Grundeinstellungen'!$C$15/'Grundeinstellungen'!$J$22,""))</f>
        <v/>
      </c>
      <c r="AF78" s="72">
        <f>IF(OR($B78="",$AE78=""),"",IFERROR($AE78*'Grundeinstellungen'!$J$21/'Grundeinstellungen'!$C$17,""))</f>
        <v/>
      </c>
      <c r="AG78" s="73">
        <f>IF(OR($B78="",$AF78=""),"",IF($AF78&lt;2300,"laminar",IF($AF78&lt;4000,"Übergangsbereich","turbulent")))</f>
        <v/>
      </c>
      <c r="AH78" s="74">
        <f>IF(OR($B78="",$AF78=""),"",IF($AF78&lt;2300,64/$AF78,0.316/$AF78^0.25))</f>
        <v/>
      </c>
      <c r="AI78" s="75">
        <f>IF(OR($B78="",$AH78="",$AB78=""),"",IFERROR($AH78*($AB78/'Grundeinstellungen'!$J$21)*('Grundeinstellungen'!$C$15/2)*$AE78^2,""))</f>
        <v/>
      </c>
      <c r="AJ78" s="76">
        <f>IF(OR($B78="",$AI78="",$AB78=""),"",IFERROR($AI78/$AB78,""))</f>
        <v/>
      </c>
      <c r="AK78" s="75">
        <f>IF(OR($B78="",$AI78=""),"",$AI78*(1+'Grundeinstellungen'!$C$24)+'Grundeinstellungen'!$C$25)</f>
        <v/>
      </c>
    </row>
    <row r="79">
      <c r="A79" s="51" t="n"/>
      <c r="B79" s="51" t="n"/>
      <c r="C79" s="51" t="n"/>
      <c r="D79" s="52" t="n"/>
      <c r="E79" s="53" t="n"/>
      <c r="F79" s="54" t="n"/>
      <c r="G79" s="55">
        <f>IF($B79="","",IFERROR($F79/$D79,""))</f>
        <v/>
      </c>
      <c r="H79" s="52" t="n"/>
      <c r="I79" s="56" t="n"/>
      <c r="J79" s="57" t="n"/>
      <c r="K79" s="58" t="n"/>
      <c r="L79" s="59" t="n"/>
      <c r="M79" s="60" t="n"/>
      <c r="N79" s="61">
        <f>IF($B79="","",IFERROR(('Grundeinstellungen'!$C$6-'Grundeinstellungen'!$C$7)/LN(('Grundeinstellungen'!$C$6-$E79)/('Grundeinstellungen'!$C$7-$E79)),""))</f>
        <v/>
      </c>
      <c r="O79" s="62">
        <f>IF($B79="","",IFERROR(IFERROR(INDEX('Konstanten'!$B$6:$B$10,MATCH($I79,'Konstanten'!$A$6:$A$10,1))+($I79-INDEX('Konstanten'!$A$6:$A$10,MATCH($I79,'Konstanten'!$A$6:$A$10,1)))/(INDEX('Konstanten'!$A$6:$A$10,MATCH($I79,'Konstanten'!$A$6:$A$10,1)+1)-INDEX('Konstanten'!$A$6:$A$10,MATCH($I79,'Konstanten'!$A$6:$A$10,1)))*(INDEX('Konstanten'!$B$6:$B$10,MATCH($I79,'Konstanten'!$A$6:$A$10,1)+1)-INDEX('Konstanten'!$B$6:$B$10,MATCH($I79,'Konstanten'!$A$6:$A$10,1))),INDEX('Konstanten'!$B$6:$B$10,MATCH($I79,'Konstanten'!$A$6:$A$10,1))),""))</f>
        <v/>
      </c>
      <c r="P79" s="62">
        <f>IF($B79="","",IFERROR(IFERROR(INDEX('Konstanten'!$C$6:$C$10,MATCH($I79,'Konstanten'!$A$6:$A$10,1))+($I79-INDEX('Konstanten'!$A$6:$A$10,MATCH($I79,'Konstanten'!$A$6:$A$10,1)))/(INDEX('Konstanten'!$A$6:$A$10,MATCH($I79,'Konstanten'!$A$6:$A$10,1)+1)-INDEX('Konstanten'!$A$6:$A$10,MATCH($I79,'Konstanten'!$A$6:$A$10,1)))*(INDEX('Konstanten'!$C$6:$C$10,MATCH($I79,'Konstanten'!$A$6:$A$10,1)+1)-INDEX('Konstanten'!$C$6:$C$10,MATCH($I79,'Konstanten'!$A$6:$A$10,1))),INDEX('Konstanten'!$C$6:$C$10,MATCH($I79,'Konstanten'!$A$6:$A$10,1))),""))</f>
        <v/>
      </c>
      <c r="Q79" s="63">
        <f>IF(OR($B79="",$N79="",$O79="",$P79=""),"",'Konstanten'!$C$13*$O79*$P79^(1-($J79/1000)/0.075)*'Konstanten'!$C$14^'Konstanten'!$C$16*'Konstanten'!$C$15^'Konstanten'!$C$17*$N79)</f>
        <v/>
      </c>
      <c r="R79" s="64">
        <f>IF(OR($B79="",$Q79=""),"",$E79+$Q79/'Grundeinstellungen'!$J$6)</f>
        <v/>
      </c>
      <c r="S79" s="64">
        <f>IF($B79="","",IFERROR(VLOOKUP($M79,'Konstanten'!$H$6:$I$13,2,FALSE),29))</f>
        <v/>
      </c>
      <c r="T79" s="65">
        <f>IF(OR($B79="",$Q79=""),"",$Q79*$H79)</f>
        <v/>
      </c>
      <c r="U79" s="66">
        <f>IF(OR($B79="",$T79=""),"",$T79-$F79)</f>
        <v/>
      </c>
      <c r="V79" s="67">
        <f>IF(OR($B79="",$T79=""),"",IFERROR($T79/$F79,""))</f>
        <v/>
      </c>
      <c r="W79" s="65">
        <f>IF(OR($B79="",$H79=""),"",'Grundeinstellungen'!$J$13*$H79)</f>
        <v/>
      </c>
      <c r="X79" s="65">
        <f>IF(OR($B79="",$T79=""),"",MIN($T79,$F79)+$W79)</f>
        <v/>
      </c>
      <c r="Y79" s="68">
        <f>IF($B79="","",IFERROR($H79/($J79/1000),""))</f>
        <v/>
      </c>
      <c r="Z79" s="68">
        <f>IF($B79="","",IFERROR(2*$L79*$K79,""))</f>
        <v/>
      </c>
      <c r="AA79" s="68">
        <f>IF(OR($B79="",$Y79="",$Z79=""),"",$Y79+$Z79)</f>
        <v/>
      </c>
      <c r="AB79" s="68">
        <f>IF(OR($B79="",$AA79=""),"",IFERROR($AA79/$K79,""))</f>
        <v/>
      </c>
      <c r="AC79" s="69">
        <f>IF(OR($B79="",$X79=""),"",IFERROR(($X79/$K79)/('Grundeinstellungen'!$C$16*('Grundeinstellungen'!$C$6-'Grundeinstellungen'!$C$7))*3600,""))</f>
        <v/>
      </c>
      <c r="AD79" s="70">
        <f>IF(OR($B79="",$AC79=""),"",$AC79/'Grundeinstellungen'!$C$15*1000)</f>
        <v/>
      </c>
      <c r="AE79" s="71">
        <f>IF(OR($B79="",$AC79=""),"",IFERROR($AC79/3600/'Grundeinstellungen'!$C$15/'Grundeinstellungen'!$J$22,""))</f>
        <v/>
      </c>
      <c r="AF79" s="72">
        <f>IF(OR($B79="",$AE79=""),"",IFERROR($AE79*'Grundeinstellungen'!$J$21/'Grundeinstellungen'!$C$17,""))</f>
        <v/>
      </c>
      <c r="AG79" s="73">
        <f>IF(OR($B79="",$AF79=""),"",IF($AF79&lt;2300,"laminar",IF($AF79&lt;4000,"Übergangsbereich","turbulent")))</f>
        <v/>
      </c>
      <c r="AH79" s="74">
        <f>IF(OR($B79="",$AF79=""),"",IF($AF79&lt;2300,64/$AF79,0.316/$AF79^0.25))</f>
        <v/>
      </c>
      <c r="AI79" s="75">
        <f>IF(OR($B79="",$AH79="",$AB79=""),"",IFERROR($AH79*($AB79/'Grundeinstellungen'!$J$21)*('Grundeinstellungen'!$C$15/2)*$AE79^2,""))</f>
        <v/>
      </c>
      <c r="AJ79" s="76">
        <f>IF(OR($B79="",$AI79="",$AB79=""),"",IFERROR($AI79/$AB79,""))</f>
        <v/>
      </c>
      <c r="AK79" s="75">
        <f>IF(OR($B79="",$AI79=""),"",$AI79*(1+'Grundeinstellungen'!$C$24)+'Grundeinstellungen'!$C$25)</f>
        <v/>
      </c>
    </row>
    <row r="80">
      <c r="A80" s="51" t="n"/>
      <c r="B80" s="51" t="n"/>
      <c r="C80" s="51" t="n"/>
      <c r="D80" s="52" t="n"/>
      <c r="E80" s="53" t="n"/>
      <c r="F80" s="54" t="n"/>
      <c r="G80" s="55">
        <f>IF($B80="","",IFERROR($F80/$D80,""))</f>
        <v/>
      </c>
      <c r="H80" s="52" t="n"/>
      <c r="I80" s="56" t="n"/>
      <c r="J80" s="57" t="n"/>
      <c r="K80" s="58" t="n"/>
      <c r="L80" s="59" t="n"/>
      <c r="M80" s="60" t="n"/>
      <c r="N80" s="61">
        <f>IF($B80="","",IFERROR(('Grundeinstellungen'!$C$6-'Grundeinstellungen'!$C$7)/LN(('Grundeinstellungen'!$C$6-$E80)/('Grundeinstellungen'!$C$7-$E80)),""))</f>
        <v/>
      </c>
      <c r="O80" s="62">
        <f>IF($B80="","",IFERROR(IFERROR(INDEX('Konstanten'!$B$6:$B$10,MATCH($I80,'Konstanten'!$A$6:$A$10,1))+($I80-INDEX('Konstanten'!$A$6:$A$10,MATCH($I80,'Konstanten'!$A$6:$A$10,1)))/(INDEX('Konstanten'!$A$6:$A$10,MATCH($I80,'Konstanten'!$A$6:$A$10,1)+1)-INDEX('Konstanten'!$A$6:$A$10,MATCH($I80,'Konstanten'!$A$6:$A$10,1)))*(INDEX('Konstanten'!$B$6:$B$10,MATCH($I80,'Konstanten'!$A$6:$A$10,1)+1)-INDEX('Konstanten'!$B$6:$B$10,MATCH($I80,'Konstanten'!$A$6:$A$10,1))),INDEX('Konstanten'!$B$6:$B$10,MATCH($I80,'Konstanten'!$A$6:$A$10,1))),""))</f>
        <v/>
      </c>
      <c r="P80" s="62">
        <f>IF($B80="","",IFERROR(IFERROR(INDEX('Konstanten'!$C$6:$C$10,MATCH($I80,'Konstanten'!$A$6:$A$10,1))+($I80-INDEX('Konstanten'!$A$6:$A$10,MATCH($I80,'Konstanten'!$A$6:$A$10,1)))/(INDEX('Konstanten'!$A$6:$A$10,MATCH($I80,'Konstanten'!$A$6:$A$10,1)+1)-INDEX('Konstanten'!$A$6:$A$10,MATCH($I80,'Konstanten'!$A$6:$A$10,1)))*(INDEX('Konstanten'!$C$6:$C$10,MATCH($I80,'Konstanten'!$A$6:$A$10,1)+1)-INDEX('Konstanten'!$C$6:$C$10,MATCH($I80,'Konstanten'!$A$6:$A$10,1))),INDEX('Konstanten'!$C$6:$C$10,MATCH($I80,'Konstanten'!$A$6:$A$10,1))),""))</f>
        <v/>
      </c>
      <c r="Q80" s="63">
        <f>IF(OR($B80="",$N80="",$O80="",$P80=""),"",'Konstanten'!$C$13*$O80*$P80^(1-($J80/1000)/0.075)*'Konstanten'!$C$14^'Konstanten'!$C$16*'Konstanten'!$C$15^'Konstanten'!$C$17*$N80)</f>
        <v/>
      </c>
      <c r="R80" s="64">
        <f>IF(OR($B80="",$Q80=""),"",$E80+$Q80/'Grundeinstellungen'!$J$6)</f>
        <v/>
      </c>
      <c r="S80" s="64">
        <f>IF($B80="","",IFERROR(VLOOKUP($M80,'Konstanten'!$H$6:$I$13,2,FALSE),29))</f>
        <v/>
      </c>
      <c r="T80" s="65">
        <f>IF(OR($B80="",$Q80=""),"",$Q80*$H80)</f>
        <v/>
      </c>
      <c r="U80" s="66">
        <f>IF(OR($B80="",$T80=""),"",$T80-$F80)</f>
        <v/>
      </c>
      <c r="V80" s="67">
        <f>IF(OR($B80="",$T80=""),"",IFERROR($T80/$F80,""))</f>
        <v/>
      </c>
      <c r="W80" s="65">
        <f>IF(OR($B80="",$H80=""),"",'Grundeinstellungen'!$J$13*$H80)</f>
        <v/>
      </c>
      <c r="X80" s="65">
        <f>IF(OR($B80="",$T80=""),"",MIN($T80,$F80)+$W80)</f>
        <v/>
      </c>
      <c r="Y80" s="68">
        <f>IF($B80="","",IFERROR($H80/($J80/1000),""))</f>
        <v/>
      </c>
      <c r="Z80" s="68">
        <f>IF($B80="","",IFERROR(2*$L80*$K80,""))</f>
        <v/>
      </c>
      <c r="AA80" s="68">
        <f>IF(OR($B80="",$Y80="",$Z80=""),"",$Y80+$Z80)</f>
        <v/>
      </c>
      <c r="AB80" s="68">
        <f>IF(OR($B80="",$AA80=""),"",IFERROR($AA80/$K80,""))</f>
        <v/>
      </c>
      <c r="AC80" s="69">
        <f>IF(OR($B80="",$X80=""),"",IFERROR(($X80/$K80)/('Grundeinstellungen'!$C$16*('Grundeinstellungen'!$C$6-'Grundeinstellungen'!$C$7))*3600,""))</f>
        <v/>
      </c>
      <c r="AD80" s="70">
        <f>IF(OR($B80="",$AC80=""),"",$AC80/'Grundeinstellungen'!$C$15*1000)</f>
        <v/>
      </c>
      <c r="AE80" s="71">
        <f>IF(OR($B80="",$AC80=""),"",IFERROR($AC80/3600/'Grundeinstellungen'!$C$15/'Grundeinstellungen'!$J$22,""))</f>
        <v/>
      </c>
      <c r="AF80" s="72">
        <f>IF(OR($B80="",$AE80=""),"",IFERROR($AE80*'Grundeinstellungen'!$J$21/'Grundeinstellungen'!$C$17,""))</f>
        <v/>
      </c>
      <c r="AG80" s="73">
        <f>IF(OR($B80="",$AF80=""),"",IF($AF80&lt;2300,"laminar",IF($AF80&lt;4000,"Übergangsbereich","turbulent")))</f>
        <v/>
      </c>
      <c r="AH80" s="74">
        <f>IF(OR($B80="",$AF80=""),"",IF($AF80&lt;2300,64/$AF80,0.316/$AF80^0.25))</f>
        <v/>
      </c>
      <c r="AI80" s="75">
        <f>IF(OR($B80="",$AH80="",$AB80=""),"",IFERROR($AH80*($AB80/'Grundeinstellungen'!$J$21)*('Grundeinstellungen'!$C$15/2)*$AE80^2,""))</f>
        <v/>
      </c>
      <c r="AJ80" s="76">
        <f>IF(OR($B80="",$AI80="",$AB80=""),"",IFERROR($AI80/$AB80,""))</f>
        <v/>
      </c>
      <c r="AK80" s="75">
        <f>IF(OR($B80="",$AI80=""),"",$AI80*(1+'Grundeinstellungen'!$C$24)+'Grundeinstellungen'!$C$25)</f>
        <v/>
      </c>
    </row>
    <row r="81">
      <c r="A81" s="51" t="n"/>
      <c r="B81" s="51" t="n"/>
      <c r="C81" s="51" t="n"/>
      <c r="D81" s="52" t="n"/>
      <c r="E81" s="53" t="n"/>
      <c r="F81" s="54" t="n"/>
      <c r="G81" s="55">
        <f>IF($B81="","",IFERROR($F81/$D81,""))</f>
        <v/>
      </c>
      <c r="H81" s="52" t="n"/>
      <c r="I81" s="56" t="n"/>
      <c r="J81" s="57" t="n"/>
      <c r="K81" s="58" t="n"/>
      <c r="L81" s="59" t="n"/>
      <c r="M81" s="60" t="n"/>
      <c r="N81" s="61">
        <f>IF($B81="","",IFERROR(('Grundeinstellungen'!$C$6-'Grundeinstellungen'!$C$7)/LN(('Grundeinstellungen'!$C$6-$E81)/('Grundeinstellungen'!$C$7-$E81)),""))</f>
        <v/>
      </c>
      <c r="O81" s="62">
        <f>IF($B81="","",IFERROR(IFERROR(INDEX('Konstanten'!$B$6:$B$10,MATCH($I81,'Konstanten'!$A$6:$A$10,1))+($I81-INDEX('Konstanten'!$A$6:$A$10,MATCH($I81,'Konstanten'!$A$6:$A$10,1)))/(INDEX('Konstanten'!$A$6:$A$10,MATCH($I81,'Konstanten'!$A$6:$A$10,1)+1)-INDEX('Konstanten'!$A$6:$A$10,MATCH($I81,'Konstanten'!$A$6:$A$10,1)))*(INDEX('Konstanten'!$B$6:$B$10,MATCH($I81,'Konstanten'!$A$6:$A$10,1)+1)-INDEX('Konstanten'!$B$6:$B$10,MATCH($I81,'Konstanten'!$A$6:$A$10,1))),INDEX('Konstanten'!$B$6:$B$10,MATCH($I81,'Konstanten'!$A$6:$A$10,1))),""))</f>
        <v/>
      </c>
      <c r="P81" s="62">
        <f>IF($B81="","",IFERROR(IFERROR(INDEX('Konstanten'!$C$6:$C$10,MATCH($I81,'Konstanten'!$A$6:$A$10,1))+($I81-INDEX('Konstanten'!$A$6:$A$10,MATCH($I81,'Konstanten'!$A$6:$A$10,1)))/(INDEX('Konstanten'!$A$6:$A$10,MATCH($I81,'Konstanten'!$A$6:$A$10,1)+1)-INDEX('Konstanten'!$A$6:$A$10,MATCH($I81,'Konstanten'!$A$6:$A$10,1)))*(INDEX('Konstanten'!$C$6:$C$10,MATCH($I81,'Konstanten'!$A$6:$A$10,1)+1)-INDEX('Konstanten'!$C$6:$C$10,MATCH($I81,'Konstanten'!$A$6:$A$10,1))),INDEX('Konstanten'!$C$6:$C$10,MATCH($I81,'Konstanten'!$A$6:$A$10,1))),""))</f>
        <v/>
      </c>
      <c r="Q81" s="63">
        <f>IF(OR($B81="",$N81="",$O81="",$P81=""),"",'Konstanten'!$C$13*$O81*$P81^(1-($J81/1000)/0.075)*'Konstanten'!$C$14^'Konstanten'!$C$16*'Konstanten'!$C$15^'Konstanten'!$C$17*$N81)</f>
        <v/>
      </c>
      <c r="R81" s="64">
        <f>IF(OR($B81="",$Q81=""),"",$E81+$Q81/'Grundeinstellungen'!$J$6)</f>
        <v/>
      </c>
      <c r="S81" s="64">
        <f>IF($B81="","",IFERROR(VLOOKUP($M81,'Konstanten'!$H$6:$I$13,2,FALSE),29))</f>
        <v/>
      </c>
      <c r="T81" s="65">
        <f>IF(OR($B81="",$Q81=""),"",$Q81*$H81)</f>
        <v/>
      </c>
      <c r="U81" s="66">
        <f>IF(OR($B81="",$T81=""),"",$T81-$F81)</f>
        <v/>
      </c>
      <c r="V81" s="67">
        <f>IF(OR($B81="",$T81=""),"",IFERROR($T81/$F81,""))</f>
        <v/>
      </c>
      <c r="W81" s="65">
        <f>IF(OR($B81="",$H81=""),"",'Grundeinstellungen'!$J$13*$H81)</f>
        <v/>
      </c>
      <c r="X81" s="65">
        <f>IF(OR($B81="",$T81=""),"",MIN($T81,$F81)+$W81)</f>
        <v/>
      </c>
      <c r="Y81" s="68">
        <f>IF($B81="","",IFERROR($H81/($J81/1000),""))</f>
        <v/>
      </c>
      <c r="Z81" s="68">
        <f>IF($B81="","",IFERROR(2*$L81*$K81,""))</f>
        <v/>
      </c>
      <c r="AA81" s="68">
        <f>IF(OR($B81="",$Y81="",$Z81=""),"",$Y81+$Z81)</f>
        <v/>
      </c>
      <c r="AB81" s="68">
        <f>IF(OR($B81="",$AA81=""),"",IFERROR($AA81/$K81,""))</f>
        <v/>
      </c>
      <c r="AC81" s="69">
        <f>IF(OR($B81="",$X81=""),"",IFERROR(($X81/$K81)/('Grundeinstellungen'!$C$16*('Grundeinstellungen'!$C$6-'Grundeinstellungen'!$C$7))*3600,""))</f>
        <v/>
      </c>
      <c r="AD81" s="70">
        <f>IF(OR($B81="",$AC81=""),"",$AC81/'Grundeinstellungen'!$C$15*1000)</f>
        <v/>
      </c>
      <c r="AE81" s="71">
        <f>IF(OR($B81="",$AC81=""),"",IFERROR($AC81/3600/'Grundeinstellungen'!$C$15/'Grundeinstellungen'!$J$22,""))</f>
        <v/>
      </c>
      <c r="AF81" s="72">
        <f>IF(OR($B81="",$AE81=""),"",IFERROR($AE81*'Grundeinstellungen'!$J$21/'Grundeinstellungen'!$C$17,""))</f>
        <v/>
      </c>
      <c r="AG81" s="73">
        <f>IF(OR($B81="",$AF81=""),"",IF($AF81&lt;2300,"laminar",IF($AF81&lt;4000,"Übergangsbereich","turbulent")))</f>
        <v/>
      </c>
      <c r="AH81" s="74">
        <f>IF(OR($B81="",$AF81=""),"",IF($AF81&lt;2300,64/$AF81,0.316/$AF81^0.25))</f>
        <v/>
      </c>
      <c r="AI81" s="75">
        <f>IF(OR($B81="",$AH81="",$AB81=""),"",IFERROR($AH81*($AB81/'Grundeinstellungen'!$J$21)*('Grundeinstellungen'!$C$15/2)*$AE81^2,""))</f>
        <v/>
      </c>
      <c r="AJ81" s="76">
        <f>IF(OR($B81="",$AI81="",$AB81=""),"",IFERROR($AI81/$AB81,""))</f>
        <v/>
      </c>
      <c r="AK81" s="75">
        <f>IF(OR($B81="",$AI81=""),"",$AI81*(1+'Grundeinstellungen'!$C$24)+'Grundeinstellungen'!$C$25)</f>
        <v/>
      </c>
    </row>
    <row r="82">
      <c r="A82" s="51" t="n"/>
      <c r="B82" s="51" t="n"/>
      <c r="C82" s="51" t="n"/>
      <c r="D82" s="52" t="n"/>
      <c r="E82" s="53" t="n"/>
      <c r="F82" s="54" t="n"/>
      <c r="G82" s="55">
        <f>IF($B82="","",IFERROR($F82/$D82,""))</f>
        <v/>
      </c>
      <c r="H82" s="52" t="n"/>
      <c r="I82" s="56" t="n"/>
      <c r="J82" s="57" t="n"/>
      <c r="K82" s="58" t="n"/>
      <c r="L82" s="59" t="n"/>
      <c r="M82" s="60" t="n"/>
      <c r="N82" s="61">
        <f>IF($B82="","",IFERROR(('Grundeinstellungen'!$C$6-'Grundeinstellungen'!$C$7)/LN(('Grundeinstellungen'!$C$6-$E82)/('Grundeinstellungen'!$C$7-$E82)),""))</f>
        <v/>
      </c>
      <c r="O82" s="62">
        <f>IF($B82="","",IFERROR(IFERROR(INDEX('Konstanten'!$B$6:$B$10,MATCH($I82,'Konstanten'!$A$6:$A$10,1))+($I82-INDEX('Konstanten'!$A$6:$A$10,MATCH($I82,'Konstanten'!$A$6:$A$10,1)))/(INDEX('Konstanten'!$A$6:$A$10,MATCH($I82,'Konstanten'!$A$6:$A$10,1)+1)-INDEX('Konstanten'!$A$6:$A$10,MATCH($I82,'Konstanten'!$A$6:$A$10,1)))*(INDEX('Konstanten'!$B$6:$B$10,MATCH($I82,'Konstanten'!$A$6:$A$10,1)+1)-INDEX('Konstanten'!$B$6:$B$10,MATCH($I82,'Konstanten'!$A$6:$A$10,1))),INDEX('Konstanten'!$B$6:$B$10,MATCH($I82,'Konstanten'!$A$6:$A$10,1))),""))</f>
        <v/>
      </c>
      <c r="P82" s="62">
        <f>IF($B82="","",IFERROR(IFERROR(INDEX('Konstanten'!$C$6:$C$10,MATCH($I82,'Konstanten'!$A$6:$A$10,1))+($I82-INDEX('Konstanten'!$A$6:$A$10,MATCH($I82,'Konstanten'!$A$6:$A$10,1)))/(INDEX('Konstanten'!$A$6:$A$10,MATCH($I82,'Konstanten'!$A$6:$A$10,1)+1)-INDEX('Konstanten'!$A$6:$A$10,MATCH($I82,'Konstanten'!$A$6:$A$10,1)))*(INDEX('Konstanten'!$C$6:$C$10,MATCH($I82,'Konstanten'!$A$6:$A$10,1)+1)-INDEX('Konstanten'!$C$6:$C$10,MATCH($I82,'Konstanten'!$A$6:$A$10,1))),INDEX('Konstanten'!$C$6:$C$10,MATCH($I82,'Konstanten'!$A$6:$A$10,1))),""))</f>
        <v/>
      </c>
      <c r="Q82" s="63">
        <f>IF(OR($B82="",$N82="",$O82="",$P82=""),"",'Konstanten'!$C$13*$O82*$P82^(1-($J82/1000)/0.075)*'Konstanten'!$C$14^'Konstanten'!$C$16*'Konstanten'!$C$15^'Konstanten'!$C$17*$N82)</f>
        <v/>
      </c>
      <c r="R82" s="64">
        <f>IF(OR($B82="",$Q82=""),"",$E82+$Q82/'Grundeinstellungen'!$J$6)</f>
        <v/>
      </c>
      <c r="S82" s="64">
        <f>IF($B82="","",IFERROR(VLOOKUP($M82,'Konstanten'!$H$6:$I$13,2,FALSE),29))</f>
        <v/>
      </c>
      <c r="T82" s="65">
        <f>IF(OR($B82="",$Q82=""),"",$Q82*$H82)</f>
        <v/>
      </c>
      <c r="U82" s="66">
        <f>IF(OR($B82="",$T82=""),"",$T82-$F82)</f>
        <v/>
      </c>
      <c r="V82" s="67">
        <f>IF(OR($B82="",$T82=""),"",IFERROR($T82/$F82,""))</f>
        <v/>
      </c>
      <c r="W82" s="65">
        <f>IF(OR($B82="",$H82=""),"",'Grundeinstellungen'!$J$13*$H82)</f>
        <v/>
      </c>
      <c r="X82" s="65">
        <f>IF(OR($B82="",$T82=""),"",MIN($T82,$F82)+$W82)</f>
        <v/>
      </c>
      <c r="Y82" s="68">
        <f>IF($B82="","",IFERROR($H82/($J82/1000),""))</f>
        <v/>
      </c>
      <c r="Z82" s="68">
        <f>IF($B82="","",IFERROR(2*$L82*$K82,""))</f>
        <v/>
      </c>
      <c r="AA82" s="68">
        <f>IF(OR($B82="",$Y82="",$Z82=""),"",$Y82+$Z82)</f>
        <v/>
      </c>
      <c r="AB82" s="68">
        <f>IF(OR($B82="",$AA82=""),"",IFERROR($AA82/$K82,""))</f>
        <v/>
      </c>
      <c r="AC82" s="69">
        <f>IF(OR($B82="",$X82=""),"",IFERROR(($X82/$K82)/('Grundeinstellungen'!$C$16*('Grundeinstellungen'!$C$6-'Grundeinstellungen'!$C$7))*3600,""))</f>
        <v/>
      </c>
      <c r="AD82" s="70">
        <f>IF(OR($B82="",$AC82=""),"",$AC82/'Grundeinstellungen'!$C$15*1000)</f>
        <v/>
      </c>
      <c r="AE82" s="71">
        <f>IF(OR($B82="",$AC82=""),"",IFERROR($AC82/3600/'Grundeinstellungen'!$C$15/'Grundeinstellungen'!$J$22,""))</f>
        <v/>
      </c>
      <c r="AF82" s="72">
        <f>IF(OR($B82="",$AE82=""),"",IFERROR($AE82*'Grundeinstellungen'!$J$21/'Grundeinstellungen'!$C$17,""))</f>
        <v/>
      </c>
      <c r="AG82" s="73">
        <f>IF(OR($B82="",$AF82=""),"",IF($AF82&lt;2300,"laminar",IF($AF82&lt;4000,"Übergangsbereich","turbulent")))</f>
        <v/>
      </c>
      <c r="AH82" s="74">
        <f>IF(OR($B82="",$AF82=""),"",IF($AF82&lt;2300,64/$AF82,0.316/$AF82^0.25))</f>
        <v/>
      </c>
      <c r="AI82" s="75">
        <f>IF(OR($B82="",$AH82="",$AB82=""),"",IFERROR($AH82*($AB82/'Grundeinstellungen'!$J$21)*('Grundeinstellungen'!$C$15/2)*$AE82^2,""))</f>
        <v/>
      </c>
      <c r="AJ82" s="76">
        <f>IF(OR($B82="",$AI82="",$AB82=""),"",IFERROR($AI82/$AB82,""))</f>
        <v/>
      </c>
      <c r="AK82" s="75">
        <f>IF(OR($B82="",$AI82=""),"",$AI82*(1+'Grundeinstellungen'!$C$24)+'Grundeinstellungen'!$C$25)</f>
        <v/>
      </c>
    </row>
    <row r="83">
      <c r="A83" s="51" t="n"/>
      <c r="B83" s="51" t="n"/>
      <c r="C83" s="51" t="n"/>
      <c r="D83" s="52" t="n"/>
      <c r="E83" s="53" t="n"/>
      <c r="F83" s="54" t="n"/>
      <c r="G83" s="55">
        <f>IF($B83="","",IFERROR($F83/$D83,""))</f>
        <v/>
      </c>
      <c r="H83" s="52" t="n"/>
      <c r="I83" s="56" t="n"/>
      <c r="J83" s="57" t="n"/>
      <c r="K83" s="58" t="n"/>
      <c r="L83" s="59" t="n"/>
      <c r="M83" s="60" t="n"/>
      <c r="N83" s="61">
        <f>IF($B83="","",IFERROR(('Grundeinstellungen'!$C$6-'Grundeinstellungen'!$C$7)/LN(('Grundeinstellungen'!$C$6-$E83)/('Grundeinstellungen'!$C$7-$E83)),""))</f>
        <v/>
      </c>
      <c r="O83" s="62">
        <f>IF($B83="","",IFERROR(IFERROR(INDEX('Konstanten'!$B$6:$B$10,MATCH($I83,'Konstanten'!$A$6:$A$10,1))+($I83-INDEX('Konstanten'!$A$6:$A$10,MATCH($I83,'Konstanten'!$A$6:$A$10,1)))/(INDEX('Konstanten'!$A$6:$A$10,MATCH($I83,'Konstanten'!$A$6:$A$10,1)+1)-INDEX('Konstanten'!$A$6:$A$10,MATCH($I83,'Konstanten'!$A$6:$A$10,1)))*(INDEX('Konstanten'!$B$6:$B$10,MATCH($I83,'Konstanten'!$A$6:$A$10,1)+1)-INDEX('Konstanten'!$B$6:$B$10,MATCH($I83,'Konstanten'!$A$6:$A$10,1))),INDEX('Konstanten'!$B$6:$B$10,MATCH($I83,'Konstanten'!$A$6:$A$10,1))),""))</f>
        <v/>
      </c>
      <c r="P83" s="62">
        <f>IF($B83="","",IFERROR(IFERROR(INDEX('Konstanten'!$C$6:$C$10,MATCH($I83,'Konstanten'!$A$6:$A$10,1))+($I83-INDEX('Konstanten'!$A$6:$A$10,MATCH($I83,'Konstanten'!$A$6:$A$10,1)))/(INDEX('Konstanten'!$A$6:$A$10,MATCH($I83,'Konstanten'!$A$6:$A$10,1)+1)-INDEX('Konstanten'!$A$6:$A$10,MATCH($I83,'Konstanten'!$A$6:$A$10,1)))*(INDEX('Konstanten'!$C$6:$C$10,MATCH($I83,'Konstanten'!$A$6:$A$10,1)+1)-INDEX('Konstanten'!$C$6:$C$10,MATCH($I83,'Konstanten'!$A$6:$A$10,1))),INDEX('Konstanten'!$C$6:$C$10,MATCH($I83,'Konstanten'!$A$6:$A$10,1))),""))</f>
        <v/>
      </c>
      <c r="Q83" s="63">
        <f>IF(OR($B83="",$N83="",$O83="",$P83=""),"",'Konstanten'!$C$13*$O83*$P83^(1-($J83/1000)/0.075)*'Konstanten'!$C$14^'Konstanten'!$C$16*'Konstanten'!$C$15^'Konstanten'!$C$17*$N83)</f>
        <v/>
      </c>
      <c r="R83" s="64">
        <f>IF(OR($B83="",$Q83=""),"",$E83+$Q83/'Grundeinstellungen'!$J$6)</f>
        <v/>
      </c>
      <c r="S83" s="64">
        <f>IF($B83="","",IFERROR(VLOOKUP($M83,'Konstanten'!$H$6:$I$13,2,FALSE),29))</f>
        <v/>
      </c>
      <c r="T83" s="65">
        <f>IF(OR($B83="",$Q83=""),"",$Q83*$H83)</f>
        <v/>
      </c>
      <c r="U83" s="66">
        <f>IF(OR($B83="",$T83=""),"",$T83-$F83)</f>
        <v/>
      </c>
      <c r="V83" s="67">
        <f>IF(OR($B83="",$T83=""),"",IFERROR($T83/$F83,""))</f>
        <v/>
      </c>
      <c r="W83" s="65">
        <f>IF(OR($B83="",$H83=""),"",'Grundeinstellungen'!$J$13*$H83)</f>
        <v/>
      </c>
      <c r="X83" s="65">
        <f>IF(OR($B83="",$T83=""),"",MIN($T83,$F83)+$W83)</f>
        <v/>
      </c>
      <c r="Y83" s="68">
        <f>IF($B83="","",IFERROR($H83/($J83/1000),""))</f>
        <v/>
      </c>
      <c r="Z83" s="68">
        <f>IF($B83="","",IFERROR(2*$L83*$K83,""))</f>
        <v/>
      </c>
      <c r="AA83" s="68">
        <f>IF(OR($B83="",$Y83="",$Z83=""),"",$Y83+$Z83)</f>
        <v/>
      </c>
      <c r="AB83" s="68">
        <f>IF(OR($B83="",$AA83=""),"",IFERROR($AA83/$K83,""))</f>
        <v/>
      </c>
      <c r="AC83" s="69">
        <f>IF(OR($B83="",$X83=""),"",IFERROR(($X83/$K83)/('Grundeinstellungen'!$C$16*('Grundeinstellungen'!$C$6-'Grundeinstellungen'!$C$7))*3600,""))</f>
        <v/>
      </c>
      <c r="AD83" s="70">
        <f>IF(OR($B83="",$AC83=""),"",$AC83/'Grundeinstellungen'!$C$15*1000)</f>
        <v/>
      </c>
      <c r="AE83" s="71">
        <f>IF(OR($B83="",$AC83=""),"",IFERROR($AC83/3600/'Grundeinstellungen'!$C$15/'Grundeinstellungen'!$J$22,""))</f>
        <v/>
      </c>
      <c r="AF83" s="72">
        <f>IF(OR($B83="",$AE83=""),"",IFERROR($AE83*'Grundeinstellungen'!$J$21/'Grundeinstellungen'!$C$17,""))</f>
        <v/>
      </c>
      <c r="AG83" s="73">
        <f>IF(OR($B83="",$AF83=""),"",IF($AF83&lt;2300,"laminar",IF($AF83&lt;4000,"Übergangsbereich","turbulent")))</f>
        <v/>
      </c>
      <c r="AH83" s="74">
        <f>IF(OR($B83="",$AF83=""),"",IF($AF83&lt;2300,64/$AF83,0.316/$AF83^0.25))</f>
        <v/>
      </c>
      <c r="AI83" s="75">
        <f>IF(OR($B83="",$AH83="",$AB83=""),"",IFERROR($AH83*($AB83/'Grundeinstellungen'!$J$21)*('Grundeinstellungen'!$C$15/2)*$AE83^2,""))</f>
        <v/>
      </c>
      <c r="AJ83" s="76">
        <f>IF(OR($B83="",$AI83="",$AB83=""),"",IFERROR($AI83/$AB83,""))</f>
        <v/>
      </c>
      <c r="AK83" s="75">
        <f>IF(OR($B83="",$AI83=""),"",$AI83*(1+'Grundeinstellungen'!$C$24)+'Grundeinstellungen'!$C$25)</f>
        <v/>
      </c>
    </row>
    <row r="84">
      <c r="A84" s="51" t="n"/>
      <c r="B84" s="51" t="n"/>
      <c r="C84" s="51" t="n"/>
      <c r="D84" s="52" t="n"/>
      <c r="E84" s="53" t="n"/>
      <c r="F84" s="54" t="n"/>
      <c r="G84" s="55">
        <f>IF($B84="","",IFERROR($F84/$D84,""))</f>
        <v/>
      </c>
      <c r="H84" s="52" t="n"/>
      <c r="I84" s="56" t="n"/>
      <c r="J84" s="57" t="n"/>
      <c r="K84" s="58" t="n"/>
      <c r="L84" s="59" t="n"/>
      <c r="M84" s="60" t="n"/>
      <c r="N84" s="61">
        <f>IF($B84="","",IFERROR(('Grundeinstellungen'!$C$6-'Grundeinstellungen'!$C$7)/LN(('Grundeinstellungen'!$C$6-$E84)/('Grundeinstellungen'!$C$7-$E84)),""))</f>
        <v/>
      </c>
      <c r="O84" s="62">
        <f>IF($B84="","",IFERROR(IFERROR(INDEX('Konstanten'!$B$6:$B$10,MATCH($I84,'Konstanten'!$A$6:$A$10,1))+($I84-INDEX('Konstanten'!$A$6:$A$10,MATCH($I84,'Konstanten'!$A$6:$A$10,1)))/(INDEX('Konstanten'!$A$6:$A$10,MATCH($I84,'Konstanten'!$A$6:$A$10,1)+1)-INDEX('Konstanten'!$A$6:$A$10,MATCH($I84,'Konstanten'!$A$6:$A$10,1)))*(INDEX('Konstanten'!$B$6:$B$10,MATCH($I84,'Konstanten'!$A$6:$A$10,1)+1)-INDEX('Konstanten'!$B$6:$B$10,MATCH($I84,'Konstanten'!$A$6:$A$10,1))),INDEX('Konstanten'!$B$6:$B$10,MATCH($I84,'Konstanten'!$A$6:$A$10,1))),""))</f>
        <v/>
      </c>
      <c r="P84" s="62">
        <f>IF($B84="","",IFERROR(IFERROR(INDEX('Konstanten'!$C$6:$C$10,MATCH($I84,'Konstanten'!$A$6:$A$10,1))+($I84-INDEX('Konstanten'!$A$6:$A$10,MATCH($I84,'Konstanten'!$A$6:$A$10,1)))/(INDEX('Konstanten'!$A$6:$A$10,MATCH($I84,'Konstanten'!$A$6:$A$10,1)+1)-INDEX('Konstanten'!$A$6:$A$10,MATCH($I84,'Konstanten'!$A$6:$A$10,1)))*(INDEX('Konstanten'!$C$6:$C$10,MATCH($I84,'Konstanten'!$A$6:$A$10,1)+1)-INDEX('Konstanten'!$C$6:$C$10,MATCH($I84,'Konstanten'!$A$6:$A$10,1))),INDEX('Konstanten'!$C$6:$C$10,MATCH($I84,'Konstanten'!$A$6:$A$10,1))),""))</f>
        <v/>
      </c>
      <c r="Q84" s="63">
        <f>IF(OR($B84="",$N84="",$O84="",$P84=""),"",'Konstanten'!$C$13*$O84*$P84^(1-($J84/1000)/0.075)*'Konstanten'!$C$14^'Konstanten'!$C$16*'Konstanten'!$C$15^'Konstanten'!$C$17*$N84)</f>
        <v/>
      </c>
      <c r="R84" s="64">
        <f>IF(OR($B84="",$Q84=""),"",$E84+$Q84/'Grundeinstellungen'!$J$6)</f>
        <v/>
      </c>
      <c r="S84" s="64">
        <f>IF($B84="","",IFERROR(VLOOKUP($M84,'Konstanten'!$H$6:$I$13,2,FALSE),29))</f>
        <v/>
      </c>
      <c r="T84" s="65">
        <f>IF(OR($B84="",$Q84=""),"",$Q84*$H84)</f>
        <v/>
      </c>
      <c r="U84" s="66">
        <f>IF(OR($B84="",$T84=""),"",$T84-$F84)</f>
        <v/>
      </c>
      <c r="V84" s="67">
        <f>IF(OR($B84="",$T84=""),"",IFERROR($T84/$F84,""))</f>
        <v/>
      </c>
      <c r="W84" s="65">
        <f>IF(OR($B84="",$H84=""),"",'Grundeinstellungen'!$J$13*$H84)</f>
        <v/>
      </c>
      <c r="X84" s="65">
        <f>IF(OR($B84="",$T84=""),"",MIN($T84,$F84)+$W84)</f>
        <v/>
      </c>
      <c r="Y84" s="68">
        <f>IF($B84="","",IFERROR($H84/($J84/1000),""))</f>
        <v/>
      </c>
      <c r="Z84" s="68">
        <f>IF($B84="","",IFERROR(2*$L84*$K84,""))</f>
        <v/>
      </c>
      <c r="AA84" s="68">
        <f>IF(OR($B84="",$Y84="",$Z84=""),"",$Y84+$Z84)</f>
        <v/>
      </c>
      <c r="AB84" s="68">
        <f>IF(OR($B84="",$AA84=""),"",IFERROR($AA84/$K84,""))</f>
        <v/>
      </c>
      <c r="AC84" s="69">
        <f>IF(OR($B84="",$X84=""),"",IFERROR(($X84/$K84)/('Grundeinstellungen'!$C$16*('Grundeinstellungen'!$C$6-'Grundeinstellungen'!$C$7))*3600,""))</f>
        <v/>
      </c>
      <c r="AD84" s="70">
        <f>IF(OR($B84="",$AC84=""),"",$AC84/'Grundeinstellungen'!$C$15*1000)</f>
        <v/>
      </c>
      <c r="AE84" s="71">
        <f>IF(OR($B84="",$AC84=""),"",IFERROR($AC84/3600/'Grundeinstellungen'!$C$15/'Grundeinstellungen'!$J$22,""))</f>
        <v/>
      </c>
      <c r="AF84" s="72">
        <f>IF(OR($B84="",$AE84=""),"",IFERROR($AE84*'Grundeinstellungen'!$J$21/'Grundeinstellungen'!$C$17,""))</f>
        <v/>
      </c>
      <c r="AG84" s="73">
        <f>IF(OR($B84="",$AF84=""),"",IF($AF84&lt;2300,"laminar",IF($AF84&lt;4000,"Übergangsbereich","turbulent")))</f>
        <v/>
      </c>
      <c r="AH84" s="74">
        <f>IF(OR($B84="",$AF84=""),"",IF($AF84&lt;2300,64/$AF84,0.316/$AF84^0.25))</f>
        <v/>
      </c>
      <c r="AI84" s="75">
        <f>IF(OR($B84="",$AH84="",$AB84=""),"",IFERROR($AH84*($AB84/'Grundeinstellungen'!$J$21)*('Grundeinstellungen'!$C$15/2)*$AE84^2,""))</f>
        <v/>
      </c>
      <c r="AJ84" s="76">
        <f>IF(OR($B84="",$AI84="",$AB84=""),"",IFERROR($AI84/$AB84,""))</f>
        <v/>
      </c>
      <c r="AK84" s="75">
        <f>IF(OR($B84="",$AI84=""),"",$AI84*(1+'Grundeinstellungen'!$C$24)+'Grundeinstellungen'!$C$25)</f>
        <v/>
      </c>
    </row>
    <row r="85">
      <c r="A85" s="51" t="n"/>
      <c r="B85" s="51" t="n"/>
      <c r="C85" s="51" t="n"/>
      <c r="D85" s="52" t="n"/>
      <c r="E85" s="53" t="n"/>
      <c r="F85" s="54" t="n"/>
      <c r="G85" s="55">
        <f>IF($B85="","",IFERROR($F85/$D85,""))</f>
        <v/>
      </c>
      <c r="H85" s="52" t="n"/>
      <c r="I85" s="56" t="n"/>
      <c r="J85" s="57" t="n"/>
      <c r="K85" s="58" t="n"/>
      <c r="L85" s="59" t="n"/>
      <c r="M85" s="60" t="n"/>
      <c r="N85" s="61">
        <f>IF($B85="","",IFERROR(('Grundeinstellungen'!$C$6-'Grundeinstellungen'!$C$7)/LN(('Grundeinstellungen'!$C$6-$E85)/('Grundeinstellungen'!$C$7-$E85)),""))</f>
        <v/>
      </c>
      <c r="O85" s="62">
        <f>IF($B85="","",IFERROR(IFERROR(INDEX('Konstanten'!$B$6:$B$10,MATCH($I85,'Konstanten'!$A$6:$A$10,1))+($I85-INDEX('Konstanten'!$A$6:$A$10,MATCH($I85,'Konstanten'!$A$6:$A$10,1)))/(INDEX('Konstanten'!$A$6:$A$10,MATCH($I85,'Konstanten'!$A$6:$A$10,1)+1)-INDEX('Konstanten'!$A$6:$A$10,MATCH($I85,'Konstanten'!$A$6:$A$10,1)))*(INDEX('Konstanten'!$B$6:$B$10,MATCH($I85,'Konstanten'!$A$6:$A$10,1)+1)-INDEX('Konstanten'!$B$6:$B$10,MATCH($I85,'Konstanten'!$A$6:$A$10,1))),INDEX('Konstanten'!$B$6:$B$10,MATCH($I85,'Konstanten'!$A$6:$A$10,1))),""))</f>
        <v/>
      </c>
      <c r="P85" s="62">
        <f>IF($B85="","",IFERROR(IFERROR(INDEX('Konstanten'!$C$6:$C$10,MATCH($I85,'Konstanten'!$A$6:$A$10,1))+($I85-INDEX('Konstanten'!$A$6:$A$10,MATCH($I85,'Konstanten'!$A$6:$A$10,1)))/(INDEX('Konstanten'!$A$6:$A$10,MATCH($I85,'Konstanten'!$A$6:$A$10,1)+1)-INDEX('Konstanten'!$A$6:$A$10,MATCH($I85,'Konstanten'!$A$6:$A$10,1)))*(INDEX('Konstanten'!$C$6:$C$10,MATCH($I85,'Konstanten'!$A$6:$A$10,1)+1)-INDEX('Konstanten'!$C$6:$C$10,MATCH($I85,'Konstanten'!$A$6:$A$10,1))),INDEX('Konstanten'!$C$6:$C$10,MATCH($I85,'Konstanten'!$A$6:$A$10,1))),""))</f>
        <v/>
      </c>
      <c r="Q85" s="63">
        <f>IF(OR($B85="",$N85="",$O85="",$P85=""),"",'Konstanten'!$C$13*$O85*$P85^(1-($J85/1000)/0.075)*'Konstanten'!$C$14^'Konstanten'!$C$16*'Konstanten'!$C$15^'Konstanten'!$C$17*$N85)</f>
        <v/>
      </c>
      <c r="R85" s="64">
        <f>IF(OR($B85="",$Q85=""),"",$E85+$Q85/'Grundeinstellungen'!$J$6)</f>
        <v/>
      </c>
      <c r="S85" s="64">
        <f>IF($B85="","",IFERROR(VLOOKUP($M85,'Konstanten'!$H$6:$I$13,2,FALSE),29))</f>
        <v/>
      </c>
      <c r="T85" s="65">
        <f>IF(OR($B85="",$Q85=""),"",$Q85*$H85)</f>
        <v/>
      </c>
      <c r="U85" s="66">
        <f>IF(OR($B85="",$T85=""),"",$T85-$F85)</f>
        <v/>
      </c>
      <c r="V85" s="67">
        <f>IF(OR($B85="",$T85=""),"",IFERROR($T85/$F85,""))</f>
        <v/>
      </c>
      <c r="W85" s="65">
        <f>IF(OR($B85="",$H85=""),"",'Grundeinstellungen'!$J$13*$H85)</f>
        <v/>
      </c>
      <c r="X85" s="65">
        <f>IF(OR($B85="",$T85=""),"",MIN($T85,$F85)+$W85)</f>
        <v/>
      </c>
      <c r="Y85" s="68">
        <f>IF($B85="","",IFERROR($H85/($J85/1000),""))</f>
        <v/>
      </c>
      <c r="Z85" s="68">
        <f>IF($B85="","",IFERROR(2*$L85*$K85,""))</f>
        <v/>
      </c>
      <c r="AA85" s="68">
        <f>IF(OR($B85="",$Y85="",$Z85=""),"",$Y85+$Z85)</f>
        <v/>
      </c>
      <c r="AB85" s="68">
        <f>IF(OR($B85="",$AA85=""),"",IFERROR($AA85/$K85,""))</f>
        <v/>
      </c>
      <c r="AC85" s="69">
        <f>IF(OR($B85="",$X85=""),"",IFERROR(($X85/$K85)/('Grundeinstellungen'!$C$16*('Grundeinstellungen'!$C$6-'Grundeinstellungen'!$C$7))*3600,""))</f>
        <v/>
      </c>
      <c r="AD85" s="70">
        <f>IF(OR($B85="",$AC85=""),"",$AC85/'Grundeinstellungen'!$C$15*1000)</f>
        <v/>
      </c>
      <c r="AE85" s="71">
        <f>IF(OR($B85="",$AC85=""),"",IFERROR($AC85/3600/'Grundeinstellungen'!$C$15/'Grundeinstellungen'!$J$22,""))</f>
        <v/>
      </c>
      <c r="AF85" s="72">
        <f>IF(OR($B85="",$AE85=""),"",IFERROR($AE85*'Grundeinstellungen'!$J$21/'Grundeinstellungen'!$C$17,""))</f>
        <v/>
      </c>
      <c r="AG85" s="73">
        <f>IF(OR($B85="",$AF85=""),"",IF($AF85&lt;2300,"laminar",IF($AF85&lt;4000,"Übergangsbereich","turbulent")))</f>
        <v/>
      </c>
      <c r="AH85" s="74">
        <f>IF(OR($B85="",$AF85=""),"",IF($AF85&lt;2300,64/$AF85,0.316/$AF85^0.25))</f>
        <v/>
      </c>
      <c r="AI85" s="75">
        <f>IF(OR($B85="",$AH85="",$AB85=""),"",IFERROR($AH85*($AB85/'Grundeinstellungen'!$J$21)*('Grundeinstellungen'!$C$15/2)*$AE85^2,""))</f>
        <v/>
      </c>
      <c r="AJ85" s="76">
        <f>IF(OR($B85="",$AI85="",$AB85=""),"",IFERROR($AI85/$AB85,""))</f>
        <v/>
      </c>
      <c r="AK85" s="75">
        <f>IF(OR($B85="",$AI85=""),"",$AI85*(1+'Grundeinstellungen'!$C$24)+'Grundeinstellungen'!$C$25)</f>
        <v/>
      </c>
    </row>
    <row r="86">
      <c r="A86" s="51" t="n"/>
      <c r="B86" s="51" t="n"/>
      <c r="C86" s="51" t="n"/>
      <c r="D86" s="52" t="n"/>
      <c r="E86" s="53" t="n"/>
      <c r="F86" s="54" t="n"/>
      <c r="G86" s="55">
        <f>IF($B86="","",IFERROR($F86/$D86,""))</f>
        <v/>
      </c>
      <c r="H86" s="52" t="n"/>
      <c r="I86" s="56" t="n"/>
      <c r="J86" s="57" t="n"/>
      <c r="K86" s="58" t="n"/>
      <c r="L86" s="59" t="n"/>
      <c r="M86" s="60" t="n"/>
      <c r="N86" s="61">
        <f>IF($B86="","",IFERROR(('Grundeinstellungen'!$C$6-'Grundeinstellungen'!$C$7)/LN(('Grundeinstellungen'!$C$6-$E86)/('Grundeinstellungen'!$C$7-$E86)),""))</f>
        <v/>
      </c>
      <c r="O86" s="62">
        <f>IF($B86="","",IFERROR(IFERROR(INDEX('Konstanten'!$B$6:$B$10,MATCH($I86,'Konstanten'!$A$6:$A$10,1))+($I86-INDEX('Konstanten'!$A$6:$A$10,MATCH($I86,'Konstanten'!$A$6:$A$10,1)))/(INDEX('Konstanten'!$A$6:$A$10,MATCH($I86,'Konstanten'!$A$6:$A$10,1)+1)-INDEX('Konstanten'!$A$6:$A$10,MATCH($I86,'Konstanten'!$A$6:$A$10,1)))*(INDEX('Konstanten'!$B$6:$B$10,MATCH($I86,'Konstanten'!$A$6:$A$10,1)+1)-INDEX('Konstanten'!$B$6:$B$10,MATCH($I86,'Konstanten'!$A$6:$A$10,1))),INDEX('Konstanten'!$B$6:$B$10,MATCH($I86,'Konstanten'!$A$6:$A$10,1))),""))</f>
        <v/>
      </c>
      <c r="P86" s="62">
        <f>IF($B86="","",IFERROR(IFERROR(INDEX('Konstanten'!$C$6:$C$10,MATCH($I86,'Konstanten'!$A$6:$A$10,1))+($I86-INDEX('Konstanten'!$A$6:$A$10,MATCH($I86,'Konstanten'!$A$6:$A$10,1)))/(INDEX('Konstanten'!$A$6:$A$10,MATCH($I86,'Konstanten'!$A$6:$A$10,1)+1)-INDEX('Konstanten'!$A$6:$A$10,MATCH($I86,'Konstanten'!$A$6:$A$10,1)))*(INDEX('Konstanten'!$C$6:$C$10,MATCH($I86,'Konstanten'!$A$6:$A$10,1)+1)-INDEX('Konstanten'!$C$6:$C$10,MATCH($I86,'Konstanten'!$A$6:$A$10,1))),INDEX('Konstanten'!$C$6:$C$10,MATCH($I86,'Konstanten'!$A$6:$A$10,1))),""))</f>
        <v/>
      </c>
      <c r="Q86" s="63">
        <f>IF(OR($B86="",$N86="",$O86="",$P86=""),"",'Konstanten'!$C$13*$O86*$P86^(1-($J86/1000)/0.075)*'Konstanten'!$C$14^'Konstanten'!$C$16*'Konstanten'!$C$15^'Konstanten'!$C$17*$N86)</f>
        <v/>
      </c>
      <c r="R86" s="64">
        <f>IF(OR($B86="",$Q86=""),"",$E86+$Q86/'Grundeinstellungen'!$J$6)</f>
        <v/>
      </c>
      <c r="S86" s="64">
        <f>IF($B86="","",IFERROR(VLOOKUP($M86,'Konstanten'!$H$6:$I$13,2,FALSE),29))</f>
        <v/>
      </c>
      <c r="T86" s="65">
        <f>IF(OR($B86="",$Q86=""),"",$Q86*$H86)</f>
        <v/>
      </c>
      <c r="U86" s="66">
        <f>IF(OR($B86="",$T86=""),"",$T86-$F86)</f>
        <v/>
      </c>
      <c r="V86" s="67">
        <f>IF(OR($B86="",$T86=""),"",IFERROR($T86/$F86,""))</f>
        <v/>
      </c>
      <c r="W86" s="65">
        <f>IF(OR($B86="",$H86=""),"",'Grundeinstellungen'!$J$13*$H86)</f>
        <v/>
      </c>
      <c r="X86" s="65">
        <f>IF(OR($B86="",$T86=""),"",MIN($T86,$F86)+$W86)</f>
        <v/>
      </c>
      <c r="Y86" s="68">
        <f>IF($B86="","",IFERROR($H86/($J86/1000),""))</f>
        <v/>
      </c>
      <c r="Z86" s="68">
        <f>IF($B86="","",IFERROR(2*$L86*$K86,""))</f>
        <v/>
      </c>
      <c r="AA86" s="68">
        <f>IF(OR($B86="",$Y86="",$Z86=""),"",$Y86+$Z86)</f>
        <v/>
      </c>
      <c r="AB86" s="68">
        <f>IF(OR($B86="",$AA86=""),"",IFERROR($AA86/$K86,""))</f>
        <v/>
      </c>
      <c r="AC86" s="69">
        <f>IF(OR($B86="",$X86=""),"",IFERROR(($X86/$K86)/('Grundeinstellungen'!$C$16*('Grundeinstellungen'!$C$6-'Grundeinstellungen'!$C$7))*3600,""))</f>
        <v/>
      </c>
      <c r="AD86" s="70">
        <f>IF(OR($B86="",$AC86=""),"",$AC86/'Grundeinstellungen'!$C$15*1000)</f>
        <v/>
      </c>
      <c r="AE86" s="71">
        <f>IF(OR($B86="",$AC86=""),"",IFERROR($AC86/3600/'Grundeinstellungen'!$C$15/'Grundeinstellungen'!$J$22,""))</f>
        <v/>
      </c>
      <c r="AF86" s="72">
        <f>IF(OR($B86="",$AE86=""),"",IFERROR($AE86*'Grundeinstellungen'!$J$21/'Grundeinstellungen'!$C$17,""))</f>
        <v/>
      </c>
      <c r="AG86" s="73">
        <f>IF(OR($B86="",$AF86=""),"",IF($AF86&lt;2300,"laminar",IF($AF86&lt;4000,"Übergangsbereich","turbulent")))</f>
        <v/>
      </c>
      <c r="AH86" s="74">
        <f>IF(OR($B86="",$AF86=""),"",IF($AF86&lt;2300,64/$AF86,0.316/$AF86^0.25))</f>
        <v/>
      </c>
      <c r="AI86" s="75">
        <f>IF(OR($B86="",$AH86="",$AB86=""),"",IFERROR($AH86*($AB86/'Grundeinstellungen'!$J$21)*('Grundeinstellungen'!$C$15/2)*$AE86^2,""))</f>
        <v/>
      </c>
      <c r="AJ86" s="76">
        <f>IF(OR($B86="",$AI86="",$AB86=""),"",IFERROR($AI86/$AB86,""))</f>
        <v/>
      </c>
      <c r="AK86" s="75">
        <f>IF(OR($B86="",$AI86=""),"",$AI86*(1+'Grundeinstellungen'!$C$24)+'Grundeinstellungen'!$C$25)</f>
        <v/>
      </c>
    </row>
    <row r="87">
      <c r="A87" s="51" t="n"/>
      <c r="B87" s="51" t="n"/>
      <c r="C87" s="51" t="n"/>
      <c r="D87" s="52" t="n"/>
      <c r="E87" s="53" t="n"/>
      <c r="F87" s="54" t="n"/>
      <c r="G87" s="55">
        <f>IF($B87="","",IFERROR($F87/$D87,""))</f>
        <v/>
      </c>
      <c r="H87" s="52" t="n"/>
      <c r="I87" s="56" t="n"/>
      <c r="J87" s="57" t="n"/>
      <c r="K87" s="58" t="n"/>
      <c r="L87" s="59" t="n"/>
      <c r="M87" s="60" t="n"/>
      <c r="N87" s="61">
        <f>IF($B87="","",IFERROR(('Grundeinstellungen'!$C$6-'Grundeinstellungen'!$C$7)/LN(('Grundeinstellungen'!$C$6-$E87)/('Grundeinstellungen'!$C$7-$E87)),""))</f>
        <v/>
      </c>
      <c r="O87" s="62">
        <f>IF($B87="","",IFERROR(IFERROR(INDEX('Konstanten'!$B$6:$B$10,MATCH($I87,'Konstanten'!$A$6:$A$10,1))+($I87-INDEX('Konstanten'!$A$6:$A$10,MATCH($I87,'Konstanten'!$A$6:$A$10,1)))/(INDEX('Konstanten'!$A$6:$A$10,MATCH($I87,'Konstanten'!$A$6:$A$10,1)+1)-INDEX('Konstanten'!$A$6:$A$10,MATCH($I87,'Konstanten'!$A$6:$A$10,1)))*(INDEX('Konstanten'!$B$6:$B$10,MATCH($I87,'Konstanten'!$A$6:$A$10,1)+1)-INDEX('Konstanten'!$B$6:$B$10,MATCH($I87,'Konstanten'!$A$6:$A$10,1))),INDEX('Konstanten'!$B$6:$B$10,MATCH($I87,'Konstanten'!$A$6:$A$10,1))),""))</f>
        <v/>
      </c>
      <c r="P87" s="62">
        <f>IF($B87="","",IFERROR(IFERROR(INDEX('Konstanten'!$C$6:$C$10,MATCH($I87,'Konstanten'!$A$6:$A$10,1))+($I87-INDEX('Konstanten'!$A$6:$A$10,MATCH($I87,'Konstanten'!$A$6:$A$10,1)))/(INDEX('Konstanten'!$A$6:$A$10,MATCH($I87,'Konstanten'!$A$6:$A$10,1)+1)-INDEX('Konstanten'!$A$6:$A$10,MATCH($I87,'Konstanten'!$A$6:$A$10,1)))*(INDEX('Konstanten'!$C$6:$C$10,MATCH($I87,'Konstanten'!$A$6:$A$10,1)+1)-INDEX('Konstanten'!$C$6:$C$10,MATCH($I87,'Konstanten'!$A$6:$A$10,1))),INDEX('Konstanten'!$C$6:$C$10,MATCH($I87,'Konstanten'!$A$6:$A$10,1))),""))</f>
        <v/>
      </c>
      <c r="Q87" s="63">
        <f>IF(OR($B87="",$N87="",$O87="",$P87=""),"",'Konstanten'!$C$13*$O87*$P87^(1-($J87/1000)/0.075)*'Konstanten'!$C$14^'Konstanten'!$C$16*'Konstanten'!$C$15^'Konstanten'!$C$17*$N87)</f>
        <v/>
      </c>
      <c r="R87" s="64">
        <f>IF(OR($B87="",$Q87=""),"",$E87+$Q87/'Grundeinstellungen'!$J$6)</f>
        <v/>
      </c>
      <c r="S87" s="64">
        <f>IF($B87="","",IFERROR(VLOOKUP($M87,'Konstanten'!$H$6:$I$13,2,FALSE),29))</f>
        <v/>
      </c>
      <c r="T87" s="65">
        <f>IF(OR($B87="",$Q87=""),"",$Q87*$H87)</f>
        <v/>
      </c>
      <c r="U87" s="66">
        <f>IF(OR($B87="",$T87=""),"",$T87-$F87)</f>
        <v/>
      </c>
      <c r="V87" s="67">
        <f>IF(OR($B87="",$T87=""),"",IFERROR($T87/$F87,""))</f>
        <v/>
      </c>
      <c r="W87" s="65">
        <f>IF(OR($B87="",$H87=""),"",'Grundeinstellungen'!$J$13*$H87)</f>
        <v/>
      </c>
      <c r="X87" s="65">
        <f>IF(OR($B87="",$T87=""),"",MIN($T87,$F87)+$W87)</f>
        <v/>
      </c>
      <c r="Y87" s="68">
        <f>IF($B87="","",IFERROR($H87/($J87/1000),""))</f>
        <v/>
      </c>
      <c r="Z87" s="68">
        <f>IF($B87="","",IFERROR(2*$L87*$K87,""))</f>
        <v/>
      </c>
      <c r="AA87" s="68">
        <f>IF(OR($B87="",$Y87="",$Z87=""),"",$Y87+$Z87)</f>
        <v/>
      </c>
      <c r="AB87" s="68">
        <f>IF(OR($B87="",$AA87=""),"",IFERROR($AA87/$K87,""))</f>
        <v/>
      </c>
      <c r="AC87" s="69">
        <f>IF(OR($B87="",$X87=""),"",IFERROR(($X87/$K87)/('Grundeinstellungen'!$C$16*('Grundeinstellungen'!$C$6-'Grundeinstellungen'!$C$7))*3600,""))</f>
        <v/>
      </c>
      <c r="AD87" s="70">
        <f>IF(OR($B87="",$AC87=""),"",$AC87/'Grundeinstellungen'!$C$15*1000)</f>
        <v/>
      </c>
      <c r="AE87" s="71">
        <f>IF(OR($B87="",$AC87=""),"",IFERROR($AC87/3600/'Grundeinstellungen'!$C$15/'Grundeinstellungen'!$J$22,""))</f>
        <v/>
      </c>
      <c r="AF87" s="72">
        <f>IF(OR($B87="",$AE87=""),"",IFERROR($AE87*'Grundeinstellungen'!$J$21/'Grundeinstellungen'!$C$17,""))</f>
        <v/>
      </c>
      <c r="AG87" s="73">
        <f>IF(OR($B87="",$AF87=""),"",IF($AF87&lt;2300,"laminar",IF($AF87&lt;4000,"Übergangsbereich","turbulent")))</f>
        <v/>
      </c>
      <c r="AH87" s="74">
        <f>IF(OR($B87="",$AF87=""),"",IF($AF87&lt;2300,64/$AF87,0.316/$AF87^0.25))</f>
        <v/>
      </c>
      <c r="AI87" s="75">
        <f>IF(OR($B87="",$AH87="",$AB87=""),"",IFERROR($AH87*($AB87/'Grundeinstellungen'!$J$21)*('Grundeinstellungen'!$C$15/2)*$AE87^2,""))</f>
        <v/>
      </c>
      <c r="AJ87" s="76">
        <f>IF(OR($B87="",$AI87="",$AB87=""),"",IFERROR($AI87/$AB87,""))</f>
        <v/>
      </c>
      <c r="AK87" s="75">
        <f>IF(OR($B87="",$AI87=""),"",$AI87*(1+'Grundeinstellungen'!$C$24)+'Grundeinstellungen'!$C$25)</f>
        <v/>
      </c>
    </row>
    <row r="88">
      <c r="A88" s="51" t="n"/>
      <c r="B88" s="51" t="n"/>
      <c r="C88" s="51" t="n"/>
      <c r="D88" s="52" t="n"/>
      <c r="E88" s="53" t="n"/>
      <c r="F88" s="54" t="n"/>
      <c r="G88" s="55">
        <f>IF($B88="","",IFERROR($F88/$D88,""))</f>
        <v/>
      </c>
      <c r="H88" s="52" t="n"/>
      <c r="I88" s="56" t="n"/>
      <c r="J88" s="57" t="n"/>
      <c r="K88" s="58" t="n"/>
      <c r="L88" s="59" t="n"/>
      <c r="M88" s="60" t="n"/>
      <c r="N88" s="61">
        <f>IF($B88="","",IFERROR(('Grundeinstellungen'!$C$6-'Grundeinstellungen'!$C$7)/LN(('Grundeinstellungen'!$C$6-$E88)/('Grundeinstellungen'!$C$7-$E88)),""))</f>
        <v/>
      </c>
      <c r="O88" s="62">
        <f>IF($B88="","",IFERROR(IFERROR(INDEX('Konstanten'!$B$6:$B$10,MATCH($I88,'Konstanten'!$A$6:$A$10,1))+($I88-INDEX('Konstanten'!$A$6:$A$10,MATCH($I88,'Konstanten'!$A$6:$A$10,1)))/(INDEX('Konstanten'!$A$6:$A$10,MATCH($I88,'Konstanten'!$A$6:$A$10,1)+1)-INDEX('Konstanten'!$A$6:$A$10,MATCH($I88,'Konstanten'!$A$6:$A$10,1)))*(INDEX('Konstanten'!$B$6:$B$10,MATCH($I88,'Konstanten'!$A$6:$A$10,1)+1)-INDEX('Konstanten'!$B$6:$B$10,MATCH($I88,'Konstanten'!$A$6:$A$10,1))),INDEX('Konstanten'!$B$6:$B$10,MATCH($I88,'Konstanten'!$A$6:$A$10,1))),""))</f>
        <v/>
      </c>
      <c r="P88" s="62">
        <f>IF($B88="","",IFERROR(IFERROR(INDEX('Konstanten'!$C$6:$C$10,MATCH($I88,'Konstanten'!$A$6:$A$10,1))+($I88-INDEX('Konstanten'!$A$6:$A$10,MATCH($I88,'Konstanten'!$A$6:$A$10,1)))/(INDEX('Konstanten'!$A$6:$A$10,MATCH($I88,'Konstanten'!$A$6:$A$10,1)+1)-INDEX('Konstanten'!$A$6:$A$10,MATCH($I88,'Konstanten'!$A$6:$A$10,1)))*(INDEX('Konstanten'!$C$6:$C$10,MATCH($I88,'Konstanten'!$A$6:$A$10,1)+1)-INDEX('Konstanten'!$C$6:$C$10,MATCH($I88,'Konstanten'!$A$6:$A$10,1))),INDEX('Konstanten'!$C$6:$C$10,MATCH($I88,'Konstanten'!$A$6:$A$10,1))),""))</f>
        <v/>
      </c>
      <c r="Q88" s="63">
        <f>IF(OR($B88="",$N88="",$O88="",$P88=""),"",'Konstanten'!$C$13*$O88*$P88^(1-($J88/1000)/0.075)*'Konstanten'!$C$14^'Konstanten'!$C$16*'Konstanten'!$C$15^'Konstanten'!$C$17*$N88)</f>
        <v/>
      </c>
      <c r="R88" s="64">
        <f>IF(OR($B88="",$Q88=""),"",$E88+$Q88/'Grundeinstellungen'!$J$6)</f>
        <v/>
      </c>
      <c r="S88" s="64">
        <f>IF($B88="","",IFERROR(VLOOKUP($M88,'Konstanten'!$H$6:$I$13,2,FALSE),29))</f>
        <v/>
      </c>
      <c r="T88" s="65">
        <f>IF(OR($B88="",$Q88=""),"",$Q88*$H88)</f>
        <v/>
      </c>
      <c r="U88" s="66">
        <f>IF(OR($B88="",$T88=""),"",$T88-$F88)</f>
        <v/>
      </c>
      <c r="V88" s="67">
        <f>IF(OR($B88="",$T88=""),"",IFERROR($T88/$F88,""))</f>
        <v/>
      </c>
      <c r="W88" s="65">
        <f>IF(OR($B88="",$H88=""),"",'Grundeinstellungen'!$J$13*$H88)</f>
        <v/>
      </c>
      <c r="X88" s="65">
        <f>IF(OR($B88="",$T88=""),"",MIN($T88,$F88)+$W88)</f>
        <v/>
      </c>
      <c r="Y88" s="68">
        <f>IF($B88="","",IFERROR($H88/($J88/1000),""))</f>
        <v/>
      </c>
      <c r="Z88" s="68">
        <f>IF($B88="","",IFERROR(2*$L88*$K88,""))</f>
        <v/>
      </c>
      <c r="AA88" s="68">
        <f>IF(OR($B88="",$Y88="",$Z88=""),"",$Y88+$Z88)</f>
        <v/>
      </c>
      <c r="AB88" s="68">
        <f>IF(OR($B88="",$AA88=""),"",IFERROR($AA88/$K88,""))</f>
        <v/>
      </c>
      <c r="AC88" s="69">
        <f>IF(OR($B88="",$X88=""),"",IFERROR(($X88/$K88)/('Grundeinstellungen'!$C$16*('Grundeinstellungen'!$C$6-'Grundeinstellungen'!$C$7))*3600,""))</f>
        <v/>
      </c>
      <c r="AD88" s="70">
        <f>IF(OR($B88="",$AC88=""),"",$AC88/'Grundeinstellungen'!$C$15*1000)</f>
        <v/>
      </c>
      <c r="AE88" s="71">
        <f>IF(OR($B88="",$AC88=""),"",IFERROR($AC88/3600/'Grundeinstellungen'!$C$15/'Grundeinstellungen'!$J$22,""))</f>
        <v/>
      </c>
      <c r="AF88" s="72">
        <f>IF(OR($B88="",$AE88=""),"",IFERROR($AE88*'Grundeinstellungen'!$J$21/'Grundeinstellungen'!$C$17,""))</f>
        <v/>
      </c>
      <c r="AG88" s="73">
        <f>IF(OR($B88="",$AF88=""),"",IF($AF88&lt;2300,"laminar",IF($AF88&lt;4000,"Übergangsbereich","turbulent")))</f>
        <v/>
      </c>
      <c r="AH88" s="74">
        <f>IF(OR($B88="",$AF88=""),"",IF($AF88&lt;2300,64/$AF88,0.316/$AF88^0.25))</f>
        <v/>
      </c>
      <c r="AI88" s="75">
        <f>IF(OR($B88="",$AH88="",$AB88=""),"",IFERROR($AH88*($AB88/'Grundeinstellungen'!$J$21)*('Grundeinstellungen'!$C$15/2)*$AE88^2,""))</f>
        <v/>
      </c>
      <c r="AJ88" s="76">
        <f>IF(OR($B88="",$AI88="",$AB88=""),"",IFERROR($AI88/$AB88,""))</f>
        <v/>
      </c>
      <c r="AK88" s="75">
        <f>IF(OR($B88="",$AI88=""),"",$AI88*(1+'Grundeinstellungen'!$C$24)+'Grundeinstellungen'!$C$25)</f>
        <v/>
      </c>
    </row>
    <row r="89">
      <c r="A89" s="51" t="n"/>
      <c r="B89" s="51" t="n"/>
      <c r="C89" s="51" t="n"/>
      <c r="D89" s="52" t="n"/>
      <c r="E89" s="53" t="n"/>
      <c r="F89" s="54" t="n"/>
      <c r="G89" s="55">
        <f>IF($B89="","",IFERROR($F89/$D89,""))</f>
        <v/>
      </c>
      <c r="H89" s="52" t="n"/>
      <c r="I89" s="56" t="n"/>
      <c r="J89" s="57" t="n"/>
      <c r="K89" s="58" t="n"/>
      <c r="L89" s="59" t="n"/>
      <c r="M89" s="60" t="n"/>
      <c r="N89" s="61">
        <f>IF($B89="","",IFERROR(('Grundeinstellungen'!$C$6-'Grundeinstellungen'!$C$7)/LN(('Grundeinstellungen'!$C$6-$E89)/('Grundeinstellungen'!$C$7-$E89)),""))</f>
        <v/>
      </c>
      <c r="O89" s="62">
        <f>IF($B89="","",IFERROR(IFERROR(INDEX('Konstanten'!$B$6:$B$10,MATCH($I89,'Konstanten'!$A$6:$A$10,1))+($I89-INDEX('Konstanten'!$A$6:$A$10,MATCH($I89,'Konstanten'!$A$6:$A$10,1)))/(INDEX('Konstanten'!$A$6:$A$10,MATCH($I89,'Konstanten'!$A$6:$A$10,1)+1)-INDEX('Konstanten'!$A$6:$A$10,MATCH($I89,'Konstanten'!$A$6:$A$10,1)))*(INDEX('Konstanten'!$B$6:$B$10,MATCH($I89,'Konstanten'!$A$6:$A$10,1)+1)-INDEX('Konstanten'!$B$6:$B$10,MATCH($I89,'Konstanten'!$A$6:$A$10,1))),INDEX('Konstanten'!$B$6:$B$10,MATCH($I89,'Konstanten'!$A$6:$A$10,1))),""))</f>
        <v/>
      </c>
      <c r="P89" s="62">
        <f>IF($B89="","",IFERROR(IFERROR(INDEX('Konstanten'!$C$6:$C$10,MATCH($I89,'Konstanten'!$A$6:$A$10,1))+($I89-INDEX('Konstanten'!$A$6:$A$10,MATCH($I89,'Konstanten'!$A$6:$A$10,1)))/(INDEX('Konstanten'!$A$6:$A$10,MATCH($I89,'Konstanten'!$A$6:$A$10,1)+1)-INDEX('Konstanten'!$A$6:$A$10,MATCH($I89,'Konstanten'!$A$6:$A$10,1)))*(INDEX('Konstanten'!$C$6:$C$10,MATCH($I89,'Konstanten'!$A$6:$A$10,1)+1)-INDEX('Konstanten'!$C$6:$C$10,MATCH($I89,'Konstanten'!$A$6:$A$10,1))),INDEX('Konstanten'!$C$6:$C$10,MATCH($I89,'Konstanten'!$A$6:$A$10,1))),""))</f>
        <v/>
      </c>
      <c r="Q89" s="63">
        <f>IF(OR($B89="",$N89="",$O89="",$P89=""),"",'Konstanten'!$C$13*$O89*$P89^(1-($J89/1000)/0.075)*'Konstanten'!$C$14^'Konstanten'!$C$16*'Konstanten'!$C$15^'Konstanten'!$C$17*$N89)</f>
        <v/>
      </c>
      <c r="R89" s="64">
        <f>IF(OR($B89="",$Q89=""),"",$E89+$Q89/'Grundeinstellungen'!$J$6)</f>
        <v/>
      </c>
      <c r="S89" s="64">
        <f>IF($B89="","",IFERROR(VLOOKUP($M89,'Konstanten'!$H$6:$I$13,2,FALSE),29))</f>
        <v/>
      </c>
      <c r="T89" s="65">
        <f>IF(OR($B89="",$Q89=""),"",$Q89*$H89)</f>
        <v/>
      </c>
      <c r="U89" s="66">
        <f>IF(OR($B89="",$T89=""),"",$T89-$F89)</f>
        <v/>
      </c>
      <c r="V89" s="67">
        <f>IF(OR($B89="",$T89=""),"",IFERROR($T89/$F89,""))</f>
        <v/>
      </c>
      <c r="W89" s="65">
        <f>IF(OR($B89="",$H89=""),"",'Grundeinstellungen'!$J$13*$H89)</f>
        <v/>
      </c>
      <c r="X89" s="65">
        <f>IF(OR($B89="",$T89=""),"",MIN($T89,$F89)+$W89)</f>
        <v/>
      </c>
      <c r="Y89" s="68">
        <f>IF($B89="","",IFERROR($H89/($J89/1000),""))</f>
        <v/>
      </c>
      <c r="Z89" s="68">
        <f>IF($B89="","",IFERROR(2*$L89*$K89,""))</f>
        <v/>
      </c>
      <c r="AA89" s="68">
        <f>IF(OR($B89="",$Y89="",$Z89=""),"",$Y89+$Z89)</f>
        <v/>
      </c>
      <c r="AB89" s="68">
        <f>IF(OR($B89="",$AA89=""),"",IFERROR($AA89/$K89,""))</f>
        <v/>
      </c>
      <c r="AC89" s="69">
        <f>IF(OR($B89="",$X89=""),"",IFERROR(($X89/$K89)/('Grundeinstellungen'!$C$16*('Grundeinstellungen'!$C$6-'Grundeinstellungen'!$C$7))*3600,""))</f>
        <v/>
      </c>
      <c r="AD89" s="70">
        <f>IF(OR($B89="",$AC89=""),"",$AC89/'Grundeinstellungen'!$C$15*1000)</f>
        <v/>
      </c>
      <c r="AE89" s="71">
        <f>IF(OR($B89="",$AC89=""),"",IFERROR($AC89/3600/'Grundeinstellungen'!$C$15/'Grundeinstellungen'!$J$22,""))</f>
        <v/>
      </c>
      <c r="AF89" s="72">
        <f>IF(OR($B89="",$AE89=""),"",IFERROR($AE89*'Grundeinstellungen'!$J$21/'Grundeinstellungen'!$C$17,""))</f>
        <v/>
      </c>
      <c r="AG89" s="73">
        <f>IF(OR($B89="",$AF89=""),"",IF($AF89&lt;2300,"laminar",IF($AF89&lt;4000,"Übergangsbereich","turbulent")))</f>
        <v/>
      </c>
      <c r="AH89" s="74">
        <f>IF(OR($B89="",$AF89=""),"",IF($AF89&lt;2300,64/$AF89,0.316/$AF89^0.25))</f>
        <v/>
      </c>
      <c r="AI89" s="75">
        <f>IF(OR($B89="",$AH89="",$AB89=""),"",IFERROR($AH89*($AB89/'Grundeinstellungen'!$J$21)*('Grundeinstellungen'!$C$15/2)*$AE89^2,""))</f>
        <v/>
      </c>
      <c r="AJ89" s="76">
        <f>IF(OR($B89="",$AI89="",$AB89=""),"",IFERROR($AI89/$AB89,""))</f>
        <v/>
      </c>
      <c r="AK89" s="75">
        <f>IF(OR($B89="",$AI89=""),"",$AI89*(1+'Grundeinstellungen'!$C$24)+'Grundeinstellungen'!$C$25)</f>
        <v/>
      </c>
    </row>
    <row r="90">
      <c r="A90" s="51" t="n"/>
      <c r="B90" s="51" t="n"/>
      <c r="C90" s="51" t="n"/>
      <c r="D90" s="52" t="n"/>
      <c r="E90" s="53" t="n"/>
      <c r="F90" s="54" t="n"/>
      <c r="G90" s="55">
        <f>IF($B90="","",IFERROR($F90/$D90,""))</f>
        <v/>
      </c>
      <c r="H90" s="52" t="n"/>
      <c r="I90" s="56" t="n"/>
      <c r="J90" s="57" t="n"/>
      <c r="K90" s="58" t="n"/>
      <c r="L90" s="59" t="n"/>
      <c r="M90" s="60" t="n"/>
      <c r="N90" s="61">
        <f>IF($B90="","",IFERROR(('Grundeinstellungen'!$C$6-'Grundeinstellungen'!$C$7)/LN(('Grundeinstellungen'!$C$6-$E90)/('Grundeinstellungen'!$C$7-$E90)),""))</f>
        <v/>
      </c>
      <c r="O90" s="62">
        <f>IF($B90="","",IFERROR(IFERROR(INDEX('Konstanten'!$B$6:$B$10,MATCH($I90,'Konstanten'!$A$6:$A$10,1))+($I90-INDEX('Konstanten'!$A$6:$A$10,MATCH($I90,'Konstanten'!$A$6:$A$10,1)))/(INDEX('Konstanten'!$A$6:$A$10,MATCH($I90,'Konstanten'!$A$6:$A$10,1)+1)-INDEX('Konstanten'!$A$6:$A$10,MATCH($I90,'Konstanten'!$A$6:$A$10,1)))*(INDEX('Konstanten'!$B$6:$B$10,MATCH($I90,'Konstanten'!$A$6:$A$10,1)+1)-INDEX('Konstanten'!$B$6:$B$10,MATCH($I90,'Konstanten'!$A$6:$A$10,1))),INDEX('Konstanten'!$B$6:$B$10,MATCH($I90,'Konstanten'!$A$6:$A$10,1))),""))</f>
        <v/>
      </c>
      <c r="P90" s="62">
        <f>IF($B90="","",IFERROR(IFERROR(INDEX('Konstanten'!$C$6:$C$10,MATCH($I90,'Konstanten'!$A$6:$A$10,1))+($I90-INDEX('Konstanten'!$A$6:$A$10,MATCH($I90,'Konstanten'!$A$6:$A$10,1)))/(INDEX('Konstanten'!$A$6:$A$10,MATCH($I90,'Konstanten'!$A$6:$A$10,1)+1)-INDEX('Konstanten'!$A$6:$A$10,MATCH($I90,'Konstanten'!$A$6:$A$10,1)))*(INDEX('Konstanten'!$C$6:$C$10,MATCH($I90,'Konstanten'!$A$6:$A$10,1)+1)-INDEX('Konstanten'!$C$6:$C$10,MATCH($I90,'Konstanten'!$A$6:$A$10,1))),INDEX('Konstanten'!$C$6:$C$10,MATCH($I90,'Konstanten'!$A$6:$A$10,1))),""))</f>
        <v/>
      </c>
      <c r="Q90" s="63">
        <f>IF(OR($B90="",$N90="",$O90="",$P90=""),"",'Konstanten'!$C$13*$O90*$P90^(1-($J90/1000)/0.075)*'Konstanten'!$C$14^'Konstanten'!$C$16*'Konstanten'!$C$15^'Konstanten'!$C$17*$N90)</f>
        <v/>
      </c>
      <c r="R90" s="64">
        <f>IF(OR($B90="",$Q90=""),"",$E90+$Q90/'Grundeinstellungen'!$J$6)</f>
        <v/>
      </c>
      <c r="S90" s="64">
        <f>IF($B90="","",IFERROR(VLOOKUP($M90,'Konstanten'!$H$6:$I$13,2,FALSE),29))</f>
        <v/>
      </c>
      <c r="T90" s="65">
        <f>IF(OR($B90="",$Q90=""),"",$Q90*$H90)</f>
        <v/>
      </c>
      <c r="U90" s="66">
        <f>IF(OR($B90="",$T90=""),"",$T90-$F90)</f>
        <v/>
      </c>
      <c r="V90" s="67">
        <f>IF(OR($B90="",$T90=""),"",IFERROR($T90/$F90,""))</f>
        <v/>
      </c>
      <c r="W90" s="65">
        <f>IF(OR($B90="",$H90=""),"",'Grundeinstellungen'!$J$13*$H90)</f>
        <v/>
      </c>
      <c r="X90" s="65">
        <f>IF(OR($B90="",$T90=""),"",MIN($T90,$F90)+$W90)</f>
        <v/>
      </c>
      <c r="Y90" s="68">
        <f>IF($B90="","",IFERROR($H90/($J90/1000),""))</f>
        <v/>
      </c>
      <c r="Z90" s="68">
        <f>IF($B90="","",IFERROR(2*$L90*$K90,""))</f>
        <v/>
      </c>
      <c r="AA90" s="68">
        <f>IF(OR($B90="",$Y90="",$Z90=""),"",$Y90+$Z90)</f>
        <v/>
      </c>
      <c r="AB90" s="68">
        <f>IF(OR($B90="",$AA90=""),"",IFERROR($AA90/$K90,""))</f>
        <v/>
      </c>
      <c r="AC90" s="69">
        <f>IF(OR($B90="",$X90=""),"",IFERROR(($X90/$K90)/('Grundeinstellungen'!$C$16*('Grundeinstellungen'!$C$6-'Grundeinstellungen'!$C$7))*3600,""))</f>
        <v/>
      </c>
      <c r="AD90" s="70">
        <f>IF(OR($B90="",$AC90=""),"",$AC90/'Grundeinstellungen'!$C$15*1000)</f>
        <v/>
      </c>
      <c r="AE90" s="71">
        <f>IF(OR($B90="",$AC90=""),"",IFERROR($AC90/3600/'Grundeinstellungen'!$C$15/'Grundeinstellungen'!$J$22,""))</f>
        <v/>
      </c>
      <c r="AF90" s="72">
        <f>IF(OR($B90="",$AE90=""),"",IFERROR($AE90*'Grundeinstellungen'!$J$21/'Grundeinstellungen'!$C$17,""))</f>
        <v/>
      </c>
      <c r="AG90" s="73">
        <f>IF(OR($B90="",$AF90=""),"",IF($AF90&lt;2300,"laminar",IF($AF90&lt;4000,"Übergangsbereich","turbulent")))</f>
        <v/>
      </c>
      <c r="AH90" s="74">
        <f>IF(OR($B90="",$AF90=""),"",IF($AF90&lt;2300,64/$AF90,0.316/$AF90^0.25))</f>
        <v/>
      </c>
      <c r="AI90" s="75">
        <f>IF(OR($B90="",$AH90="",$AB90=""),"",IFERROR($AH90*($AB90/'Grundeinstellungen'!$J$21)*('Grundeinstellungen'!$C$15/2)*$AE90^2,""))</f>
        <v/>
      </c>
      <c r="AJ90" s="76">
        <f>IF(OR($B90="",$AI90="",$AB90=""),"",IFERROR($AI90/$AB90,""))</f>
        <v/>
      </c>
      <c r="AK90" s="75">
        <f>IF(OR($B90="",$AI90=""),"",$AI90*(1+'Grundeinstellungen'!$C$24)+'Grundeinstellungen'!$C$25)</f>
        <v/>
      </c>
    </row>
    <row r="91">
      <c r="A91" s="51" t="n"/>
      <c r="B91" s="51" t="n"/>
      <c r="C91" s="51" t="n"/>
      <c r="D91" s="52" t="n"/>
      <c r="E91" s="53" t="n"/>
      <c r="F91" s="54" t="n"/>
      <c r="G91" s="55">
        <f>IF($B91="","",IFERROR($F91/$D91,""))</f>
        <v/>
      </c>
      <c r="H91" s="52" t="n"/>
      <c r="I91" s="56" t="n"/>
      <c r="J91" s="57" t="n"/>
      <c r="K91" s="58" t="n"/>
      <c r="L91" s="59" t="n"/>
      <c r="M91" s="60" t="n"/>
      <c r="N91" s="61">
        <f>IF($B91="","",IFERROR(('Grundeinstellungen'!$C$6-'Grundeinstellungen'!$C$7)/LN(('Grundeinstellungen'!$C$6-$E91)/('Grundeinstellungen'!$C$7-$E91)),""))</f>
        <v/>
      </c>
      <c r="O91" s="62">
        <f>IF($B91="","",IFERROR(IFERROR(INDEX('Konstanten'!$B$6:$B$10,MATCH($I91,'Konstanten'!$A$6:$A$10,1))+($I91-INDEX('Konstanten'!$A$6:$A$10,MATCH($I91,'Konstanten'!$A$6:$A$10,1)))/(INDEX('Konstanten'!$A$6:$A$10,MATCH($I91,'Konstanten'!$A$6:$A$10,1)+1)-INDEX('Konstanten'!$A$6:$A$10,MATCH($I91,'Konstanten'!$A$6:$A$10,1)))*(INDEX('Konstanten'!$B$6:$B$10,MATCH($I91,'Konstanten'!$A$6:$A$10,1)+1)-INDEX('Konstanten'!$B$6:$B$10,MATCH($I91,'Konstanten'!$A$6:$A$10,1))),INDEX('Konstanten'!$B$6:$B$10,MATCH($I91,'Konstanten'!$A$6:$A$10,1))),""))</f>
        <v/>
      </c>
      <c r="P91" s="62">
        <f>IF($B91="","",IFERROR(IFERROR(INDEX('Konstanten'!$C$6:$C$10,MATCH($I91,'Konstanten'!$A$6:$A$10,1))+($I91-INDEX('Konstanten'!$A$6:$A$10,MATCH($I91,'Konstanten'!$A$6:$A$10,1)))/(INDEX('Konstanten'!$A$6:$A$10,MATCH($I91,'Konstanten'!$A$6:$A$10,1)+1)-INDEX('Konstanten'!$A$6:$A$10,MATCH($I91,'Konstanten'!$A$6:$A$10,1)))*(INDEX('Konstanten'!$C$6:$C$10,MATCH($I91,'Konstanten'!$A$6:$A$10,1)+1)-INDEX('Konstanten'!$C$6:$C$10,MATCH($I91,'Konstanten'!$A$6:$A$10,1))),INDEX('Konstanten'!$C$6:$C$10,MATCH($I91,'Konstanten'!$A$6:$A$10,1))),""))</f>
        <v/>
      </c>
      <c r="Q91" s="63">
        <f>IF(OR($B91="",$N91="",$O91="",$P91=""),"",'Konstanten'!$C$13*$O91*$P91^(1-($J91/1000)/0.075)*'Konstanten'!$C$14^'Konstanten'!$C$16*'Konstanten'!$C$15^'Konstanten'!$C$17*$N91)</f>
        <v/>
      </c>
      <c r="R91" s="64">
        <f>IF(OR($B91="",$Q91=""),"",$E91+$Q91/'Grundeinstellungen'!$J$6)</f>
        <v/>
      </c>
      <c r="S91" s="64">
        <f>IF($B91="","",IFERROR(VLOOKUP($M91,'Konstanten'!$H$6:$I$13,2,FALSE),29))</f>
        <v/>
      </c>
      <c r="T91" s="65">
        <f>IF(OR($B91="",$Q91=""),"",$Q91*$H91)</f>
        <v/>
      </c>
      <c r="U91" s="66">
        <f>IF(OR($B91="",$T91=""),"",$T91-$F91)</f>
        <v/>
      </c>
      <c r="V91" s="67">
        <f>IF(OR($B91="",$T91=""),"",IFERROR($T91/$F91,""))</f>
        <v/>
      </c>
      <c r="W91" s="65">
        <f>IF(OR($B91="",$H91=""),"",'Grundeinstellungen'!$J$13*$H91)</f>
        <v/>
      </c>
      <c r="X91" s="65">
        <f>IF(OR($B91="",$T91=""),"",MIN($T91,$F91)+$W91)</f>
        <v/>
      </c>
      <c r="Y91" s="68">
        <f>IF($B91="","",IFERROR($H91/($J91/1000),""))</f>
        <v/>
      </c>
      <c r="Z91" s="68">
        <f>IF($B91="","",IFERROR(2*$L91*$K91,""))</f>
        <v/>
      </c>
      <c r="AA91" s="68">
        <f>IF(OR($B91="",$Y91="",$Z91=""),"",$Y91+$Z91)</f>
        <v/>
      </c>
      <c r="AB91" s="68">
        <f>IF(OR($B91="",$AA91=""),"",IFERROR($AA91/$K91,""))</f>
        <v/>
      </c>
      <c r="AC91" s="69">
        <f>IF(OR($B91="",$X91=""),"",IFERROR(($X91/$K91)/('Grundeinstellungen'!$C$16*('Grundeinstellungen'!$C$6-'Grundeinstellungen'!$C$7))*3600,""))</f>
        <v/>
      </c>
      <c r="AD91" s="70">
        <f>IF(OR($B91="",$AC91=""),"",$AC91/'Grundeinstellungen'!$C$15*1000)</f>
        <v/>
      </c>
      <c r="AE91" s="71">
        <f>IF(OR($B91="",$AC91=""),"",IFERROR($AC91/3600/'Grundeinstellungen'!$C$15/'Grundeinstellungen'!$J$22,""))</f>
        <v/>
      </c>
      <c r="AF91" s="72">
        <f>IF(OR($B91="",$AE91=""),"",IFERROR($AE91*'Grundeinstellungen'!$J$21/'Grundeinstellungen'!$C$17,""))</f>
        <v/>
      </c>
      <c r="AG91" s="73">
        <f>IF(OR($B91="",$AF91=""),"",IF($AF91&lt;2300,"laminar",IF($AF91&lt;4000,"Übergangsbereich","turbulent")))</f>
        <v/>
      </c>
      <c r="AH91" s="74">
        <f>IF(OR($B91="",$AF91=""),"",IF($AF91&lt;2300,64/$AF91,0.316/$AF91^0.25))</f>
        <v/>
      </c>
      <c r="AI91" s="75">
        <f>IF(OR($B91="",$AH91="",$AB91=""),"",IFERROR($AH91*($AB91/'Grundeinstellungen'!$J$21)*('Grundeinstellungen'!$C$15/2)*$AE91^2,""))</f>
        <v/>
      </c>
      <c r="AJ91" s="76">
        <f>IF(OR($B91="",$AI91="",$AB91=""),"",IFERROR($AI91/$AB91,""))</f>
        <v/>
      </c>
      <c r="AK91" s="75">
        <f>IF(OR($B91="",$AI91=""),"",$AI91*(1+'Grundeinstellungen'!$C$24)+'Grundeinstellungen'!$C$25)</f>
        <v/>
      </c>
    </row>
    <row r="92">
      <c r="A92" s="51" t="n"/>
      <c r="B92" s="51" t="n"/>
      <c r="C92" s="51" t="n"/>
      <c r="D92" s="52" t="n"/>
      <c r="E92" s="53" t="n"/>
      <c r="F92" s="54" t="n"/>
      <c r="G92" s="55">
        <f>IF($B92="","",IFERROR($F92/$D92,""))</f>
        <v/>
      </c>
      <c r="H92" s="52" t="n"/>
      <c r="I92" s="56" t="n"/>
      <c r="J92" s="57" t="n"/>
      <c r="K92" s="58" t="n"/>
      <c r="L92" s="59" t="n"/>
      <c r="M92" s="60" t="n"/>
      <c r="N92" s="61">
        <f>IF($B92="","",IFERROR(('Grundeinstellungen'!$C$6-'Grundeinstellungen'!$C$7)/LN(('Grundeinstellungen'!$C$6-$E92)/('Grundeinstellungen'!$C$7-$E92)),""))</f>
        <v/>
      </c>
      <c r="O92" s="62">
        <f>IF($B92="","",IFERROR(IFERROR(INDEX('Konstanten'!$B$6:$B$10,MATCH($I92,'Konstanten'!$A$6:$A$10,1))+($I92-INDEX('Konstanten'!$A$6:$A$10,MATCH($I92,'Konstanten'!$A$6:$A$10,1)))/(INDEX('Konstanten'!$A$6:$A$10,MATCH($I92,'Konstanten'!$A$6:$A$10,1)+1)-INDEX('Konstanten'!$A$6:$A$10,MATCH($I92,'Konstanten'!$A$6:$A$10,1)))*(INDEX('Konstanten'!$B$6:$B$10,MATCH($I92,'Konstanten'!$A$6:$A$10,1)+1)-INDEX('Konstanten'!$B$6:$B$10,MATCH($I92,'Konstanten'!$A$6:$A$10,1))),INDEX('Konstanten'!$B$6:$B$10,MATCH($I92,'Konstanten'!$A$6:$A$10,1))),""))</f>
        <v/>
      </c>
      <c r="P92" s="62">
        <f>IF($B92="","",IFERROR(IFERROR(INDEX('Konstanten'!$C$6:$C$10,MATCH($I92,'Konstanten'!$A$6:$A$10,1))+($I92-INDEX('Konstanten'!$A$6:$A$10,MATCH($I92,'Konstanten'!$A$6:$A$10,1)))/(INDEX('Konstanten'!$A$6:$A$10,MATCH($I92,'Konstanten'!$A$6:$A$10,1)+1)-INDEX('Konstanten'!$A$6:$A$10,MATCH($I92,'Konstanten'!$A$6:$A$10,1)))*(INDEX('Konstanten'!$C$6:$C$10,MATCH($I92,'Konstanten'!$A$6:$A$10,1)+1)-INDEX('Konstanten'!$C$6:$C$10,MATCH($I92,'Konstanten'!$A$6:$A$10,1))),INDEX('Konstanten'!$C$6:$C$10,MATCH($I92,'Konstanten'!$A$6:$A$10,1))),""))</f>
        <v/>
      </c>
      <c r="Q92" s="63">
        <f>IF(OR($B92="",$N92="",$O92="",$P92=""),"",'Konstanten'!$C$13*$O92*$P92^(1-($J92/1000)/0.075)*'Konstanten'!$C$14^'Konstanten'!$C$16*'Konstanten'!$C$15^'Konstanten'!$C$17*$N92)</f>
        <v/>
      </c>
      <c r="R92" s="64">
        <f>IF(OR($B92="",$Q92=""),"",$E92+$Q92/'Grundeinstellungen'!$J$6)</f>
        <v/>
      </c>
      <c r="S92" s="64">
        <f>IF($B92="","",IFERROR(VLOOKUP($M92,'Konstanten'!$H$6:$I$13,2,FALSE),29))</f>
        <v/>
      </c>
      <c r="T92" s="65">
        <f>IF(OR($B92="",$Q92=""),"",$Q92*$H92)</f>
        <v/>
      </c>
      <c r="U92" s="66">
        <f>IF(OR($B92="",$T92=""),"",$T92-$F92)</f>
        <v/>
      </c>
      <c r="V92" s="67">
        <f>IF(OR($B92="",$T92=""),"",IFERROR($T92/$F92,""))</f>
        <v/>
      </c>
      <c r="W92" s="65">
        <f>IF(OR($B92="",$H92=""),"",'Grundeinstellungen'!$J$13*$H92)</f>
        <v/>
      </c>
      <c r="X92" s="65">
        <f>IF(OR($B92="",$T92=""),"",MIN($T92,$F92)+$W92)</f>
        <v/>
      </c>
      <c r="Y92" s="68">
        <f>IF($B92="","",IFERROR($H92/($J92/1000),""))</f>
        <v/>
      </c>
      <c r="Z92" s="68">
        <f>IF($B92="","",IFERROR(2*$L92*$K92,""))</f>
        <v/>
      </c>
      <c r="AA92" s="68">
        <f>IF(OR($B92="",$Y92="",$Z92=""),"",$Y92+$Z92)</f>
        <v/>
      </c>
      <c r="AB92" s="68">
        <f>IF(OR($B92="",$AA92=""),"",IFERROR($AA92/$K92,""))</f>
        <v/>
      </c>
      <c r="AC92" s="69">
        <f>IF(OR($B92="",$X92=""),"",IFERROR(($X92/$K92)/('Grundeinstellungen'!$C$16*('Grundeinstellungen'!$C$6-'Grundeinstellungen'!$C$7))*3600,""))</f>
        <v/>
      </c>
      <c r="AD92" s="70">
        <f>IF(OR($B92="",$AC92=""),"",$AC92/'Grundeinstellungen'!$C$15*1000)</f>
        <v/>
      </c>
      <c r="AE92" s="71">
        <f>IF(OR($B92="",$AC92=""),"",IFERROR($AC92/3600/'Grundeinstellungen'!$C$15/'Grundeinstellungen'!$J$22,""))</f>
        <v/>
      </c>
      <c r="AF92" s="72">
        <f>IF(OR($B92="",$AE92=""),"",IFERROR($AE92*'Grundeinstellungen'!$J$21/'Grundeinstellungen'!$C$17,""))</f>
        <v/>
      </c>
      <c r="AG92" s="73">
        <f>IF(OR($B92="",$AF92=""),"",IF($AF92&lt;2300,"laminar",IF($AF92&lt;4000,"Übergangsbereich","turbulent")))</f>
        <v/>
      </c>
      <c r="AH92" s="74">
        <f>IF(OR($B92="",$AF92=""),"",IF($AF92&lt;2300,64/$AF92,0.316/$AF92^0.25))</f>
        <v/>
      </c>
      <c r="AI92" s="75">
        <f>IF(OR($B92="",$AH92="",$AB92=""),"",IFERROR($AH92*($AB92/'Grundeinstellungen'!$J$21)*('Grundeinstellungen'!$C$15/2)*$AE92^2,""))</f>
        <v/>
      </c>
      <c r="AJ92" s="76">
        <f>IF(OR($B92="",$AI92="",$AB92=""),"",IFERROR($AI92/$AB92,""))</f>
        <v/>
      </c>
      <c r="AK92" s="75">
        <f>IF(OR($B92="",$AI92=""),"",$AI92*(1+'Grundeinstellungen'!$C$24)+'Grundeinstellungen'!$C$25)</f>
        <v/>
      </c>
    </row>
    <row r="93">
      <c r="A93" s="51" t="n"/>
      <c r="B93" s="51" t="n"/>
      <c r="C93" s="51" t="n"/>
      <c r="D93" s="52" t="n"/>
      <c r="E93" s="53" t="n"/>
      <c r="F93" s="54" t="n"/>
      <c r="G93" s="55">
        <f>IF($B93="","",IFERROR($F93/$D93,""))</f>
        <v/>
      </c>
      <c r="H93" s="52" t="n"/>
      <c r="I93" s="56" t="n"/>
      <c r="J93" s="57" t="n"/>
      <c r="K93" s="58" t="n"/>
      <c r="L93" s="59" t="n"/>
      <c r="M93" s="60" t="n"/>
      <c r="N93" s="61">
        <f>IF($B93="","",IFERROR(('Grundeinstellungen'!$C$6-'Grundeinstellungen'!$C$7)/LN(('Grundeinstellungen'!$C$6-$E93)/('Grundeinstellungen'!$C$7-$E93)),""))</f>
        <v/>
      </c>
      <c r="O93" s="62">
        <f>IF($B93="","",IFERROR(IFERROR(INDEX('Konstanten'!$B$6:$B$10,MATCH($I93,'Konstanten'!$A$6:$A$10,1))+($I93-INDEX('Konstanten'!$A$6:$A$10,MATCH($I93,'Konstanten'!$A$6:$A$10,1)))/(INDEX('Konstanten'!$A$6:$A$10,MATCH($I93,'Konstanten'!$A$6:$A$10,1)+1)-INDEX('Konstanten'!$A$6:$A$10,MATCH($I93,'Konstanten'!$A$6:$A$10,1)))*(INDEX('Konstanten'!$B$6:$B$10,MATCH($I93,'Konstanten'!$A$6:$A$10,1)+1)-INDEX('Konstanten'!$B$6:$B$10,MATCH($I93,'Konstanten'!$A$6:$A$10,1))),INDEX('Konstanten'!$B$6:$B$10,MATCH($I93,'Konstanten'!$A$6:$A$10,1))),""))</f>
        <v/>
      </c>
      <c r="P93" s="62">
        <f>IF($B93="","",IFERROR(IFERROR(INDEX('Konstanten'!$C$6:$C$10,MATCH($I93,'Konstanten'!$A$6:$A$10,1))+($I93-INDEX('Konstanten'!$A$6:$A$10,MATCH($I93,'Konstanten'!$A$6:$A$10,1)))/(INDEX('Konstanten'!$A$6:$A$10,MATCH($I93,'Konstanten'!$A$6:$A$10,1)+1)-INDEX('Konstanten'!$A$6:$A$10,MATCH($I93,'Konstanten'!$A$6:$A$10,1)))*(INDEX('Konstanten'!$C$6:$C$10,MATCH($I93,'Konstanten'!$A$6:$A$10,1)+1)-INDEX('Konstanten'!$C$6:$C$10,MATCH($I93,'Konstanten'!$A$6:$A$10,1))),INDEX('Konstanten'!$C$6:$C$10,MATCH($I93,'Konstanten'!$A$6:$A$10,1))),""))</f>
        <v/>
      </c>
      <c r="Q93" s="63">
        <f>IF(OR($B93="",$N93="",$O93="",$P93=""),"",'Konstanten'!$C$13*$O93*$P93^(1-($J93/1000)/0.075)*'Konstanten'!$C$14^'Konstanten'!$C$16*'Konstanten'!$C$15^'Konstanten'!$C$17*$N93)</f>
        <v/>
      </c>
      <c r="R93" s="64">
        <f>IF(OR($B93="",$Q93=""),"",$E93+$Q93/'Grundeinstellungen'!$J$6)</f>
        <v/>
      </c>
      <c r="S93" s="64">
        <f>IF($B93="","",IFERROR(VLOOKUP($M93,'Konstanten'!$H$6:$I$13,2,FALSE),29))</f>
        <v/>
      </c>
      <c r="T93" s="65">
        <f>IF(OR($B93="",$Q93=""),"",$Q93*$H93)</f>
        <v/>
      </c>
      <c r="U93" s="66">
        <f>IF(OR($B93="",$T93=""),"",$T93-$F93)</f>
        <v/>
      </c>
      <c r="V93" s="67">
        <f>IF(OR($B93="",$T93=""),"",IFERROR($T93/$F93,""))</f>
        <v/>
      </c>
      <c r="W93" s="65">
        <f>IF(OR($B93="",$H93=""),"",'Grundeinstellungen'!$J$13*$H93)</f>
        <v/>
      </c>
      <c r="X93" s="65">
        <f>IF(OR($B93="",$T93=""),"",MIN($T93,$F93)+$W93)</f>
        <v/>
      </c>
      <c r="Y93" s="68">
        <f>IF($B93="","",IFERROR($H93/($J93/1000),""))</f>
        <v/>
      </c>
      <c r="Z93" s="68">
        <f>IF($B93="","",IFERROR(2*$L93*$K93,""))</f>
        <v/>
      </c>
      <c r="AA93" s="68">
        <f>IF(OR($B93="",$Y93="",$Z93=""),"",$Y93+$Z93)</f>
        <v/>
      </c>
      <c r="AB93" s="68">
        <f>IF(OR($B93="",$AA93=""),"",IFERROR($AA93/$K93,""))</f>
        <v/>
      </c>
      <c r="AC93" s="69">
        <f>IF(OR($B93="",$X93=""),"",IFERROR(($X93/$K93)/('Grundeinstellungen'!$C$16*('Grundeinstellungen'!$C$6-'Grundeinstellungen'!$C$7))*3600,""))</f>
        <v/>
      </c>
      <c r="AD93" s="70">
        <f>IF(OR($B93="",$AC93=""),"",$AC93/'Grundeinstellungen'!$C$15*1000)</f>
        <v/>
      </c>
      <c r="AE93" s="71">
        <f>IF(OR($B93="",$AC93=""),"",IFERROR($AC93/3600/'Grundeinstellungen'!$C$15/'Grundeinstellungen'!$J$22,""))</f>
        <v/>
      </c>
      <c r="AF93" s="72">
        <f>IF(OR($B93="",$AE93=""),"",IFERROR($AE93*'Grundeinstellungen'!$J$21/'Grundeinstellungen'!$C$17,""))</f>
        <v/>
      </c>
      <c r="AG93" s="73">
        <f>IF(OR($B93="",$AF93=""),"",IF($AF93&lt;2300,"laminar",IF($AF93&lt;4000,"Übergangsbereich","turbulent")))</f>
        <v/>
      </c>
      <c r="AH93" s="74">
        <f>IF(OR($B93="",$AF93=""),"",IF($AF93&lt;2300,64/$AF93,0.316/$AF93^0.25))</f>
        <v/>
      </c>
      <c r="AI93" s="75">
        <f>IF(OR($B93="",$AH93="",$AB93=""),"",IFERROR($AH93*($AB93/'Grundeinstellungen'!$J$21)*('Grundeinstellungen'!$C$15/2)*$AE93^2,""))</f>
        <v/>
      </c>
      <c r="AJ93" s="76">
        <f>IF(OR($B93="",$AI93="",$AB93=""),"",IFERROR($AI93/$AB93,""))</f>
        <v/>
      </c>
      <c r="AK93" s="75">
        <f>IF(OR($B93="",$AI93=""),"",$AI93*(1+'Grundeinstellungen'!$C$24)+'Grundeinstellungen'!$C$25)</f>
        <v/>
      </c>
    </row>
    <row r="94">
      <c r="A94" s="51" t="n"/>
      <c r="B94" s="51" t="n"/>
      <c r="C94" s="51" t="n"/>
      <c r="D94" s="52" t="n"/>
      <c r="E94" s="53" t="n"/>
      <c r="F94" s="54" t="n"/>
      <c r="G94" s="55">
        <f>IF($B94="","",IFERROR($F94/$D94,""))</f>
        <v/>
      </c>
      <c r="H94" s="52" t="n"/>
      <c r="I94" s="56" t="n"/>
      <c r="J94" s="57" t="n"/>
      <c r="K94" s="58" t="n"/>
      <c r="L94" s="59" t="n"/>
      <c r="M94" s="60" t="n"/>
      <c r="N94" s="61">
        <f>IF($B94="","",IFERROR(('Grundeinstellungen'!$C$6-'Grundeinstellungen'!$C$7)/LN(('Grundeinstellungen'!$C$6-$E94)/('Grundeinstellungen'!$C$7-$E94)),""))</f>
        <v/>
      </c>
      <c r="O94" s="62">
        <f>IF($B94="","",IFERROR(IFERROR(INDEX('Konstanten'!$B$6:$B$10,MATCH($I94,'Konstanten'!$A$6:$A$10,1))+($I94-INDEX('Konstanten'!$A$6:$A$10,MATCH($I94,'Konstanten'!$A$6:$A$10,1)))/(INDEX('Konstanten'!$A$6:$A$10,MATCH($I94,'Konstanten'!$A$6:$A$10,1)+1)-INDEX('Konstanten'!$A$6:$A$10,MATCH($I94,'Konstanten'!$A$6:$A$10,1)))*(INDEX('Konstanten'!$B$6:$B$10,MATCH($I94,'Konstanten'!$A$6:$A$10,1)+1)-INDEX('Konstanten'!$B$6:$B$10,MATCH($I94,'Konstanten'!$A$6:$A$10,1))),INDEX('Konstanten'!$B$6:$B$10,MATCH($I94,'Konstanten'!$A$6:$A$10,1))),""))</f>
        <v/>
      </c>
      <c r="P94" s="62">
        <f>IF($B94="","",IFERROR(IFERROR(INDEX('Konstanten'!$C$6:$C$10,MATCH($I94,'Konstanten'!$A$6:$A$10,1))+($I94-INDEX('Konstanten'!$A$6:$A$10,MATCH($I94,'Konstanten'!$A$6:$A$10,1)))/(INDEX('Konstanten'!$A$6:$A$10,MATCH($I94,'Konstanten'!$A$6:$A$10,1)+1)-INDEX('Konstanten'!$A$6:$A$10,MATCH($I94,'Konstanten'!$A$6:$A$10,1)))*(INDEX('Konstanten'!$C$6:$C$10,MATCH($I94,'Konstanten'!$A$6:$A$10,1)+1)-INDEX('Konstanten'!$C$6:$C$10,MATCH($I94,'Konstanten'!$A$6:$A$10,1))),INDEX('Konstanten'!$C$6:$C$10,MATCH($I94,'Konstanten'!$A$6:$A$10,1))),""))</f>
        <v/>
      </c>
      <c r="Q94" s="63">
        <f>IF(OR($B94="",$N94="",$O94="",$P94=""),"",'Konstanten'!$C$13*$O94*$P94^(1-($J94/1000)/0.075)*'Konstanten'!$C$14^'Konstanten'!$C$16*'Konstanten'!$C$15^'Konstanten'!$C$17*$N94)</f>
        <v/>
      </c>
      <c r="R94" s="64">
        <f>IF(OR($B94="",$Q94=""),"",$E94+$Q94/'Grundeinstellungen'!$J$6)</f>
        <v/>
      </c>
      <c r="S94" s="64">
        <f>IF($B94="","",IFERROR(VLOOKUP($M94,'Konstanten'!$H$6:$I$13,2,FALSE),29))</f>
        <v/>
      </c>
      <c r="T94" s="65">
        <f>IF(OR($B94="",$Q94=""),"",$Q94*$H94)</f>
        <v/>
      </c>
      <c r="U94" s="66">
        <f>IF(OR($B94="",$T94=""),"",$T94-$F94)</f>
        <v/>
      </c>
      <c r="V94" s="67">
        <f>IF(OR($B94="",$T94=""),"",IFERROR($T94/$F94,""))</f>
        <v/>
      </c>
      <c r="W94" s="65">
        <f>IF(OR($B94="",$H94=""),"",'Grundeinstellungen'!$J$13*$H94)</f>
        <v/>
      </c>
      <c r="X94" s="65">
        <f>IF(OR($B94="",$T94=""),"",MIN($T94,$F94)+$W94)</f>
        <v/>
      </c>
      <c r="Y94" s="68">
        <f>IF($B94="","",IFERROR($H94/($J94/1000),""))</f>
        <v/>
      </c>
      <c r="Z94" s="68">
        <f>IF($B94="","",IFERROR(2*$L94*$K94,""))</f>
        <v/>
      </c>
      <c r="AA94" s="68">
        <f>IF(OR($B94="",$Y94="",$Z94=""),"",$Y94+$Z94)</f>
        <v/>
      </c>
      <c r="AB94" s="68">
        <f>IF(OR($B94="",$AA94=""),"",IFERROR($AA94/$K94,""))</f>
        <v/>
      </c>
      <c r="AC94" s="69">
        <f>IF(OR($B94="",$X94=""),"",IFERROR(($X94/$K94)/('Grundeinstellungen'!$C$16*('Grundeinstellungen'!$C$6-'Grundeinstellungen'!$C$7))*3600,""))</f>
        <v/>
      </c>
      <c r="AD94" s="70">
        <f>IF(OR($B94="",$AC94=""),"",$AC94/'Grundeinstellungen'!$C$15*1000)</f>
        <v/>
      </c>
      <c r="AE94" s="71">
        <f>IF(OR($B94="",$AC94=""),"",IFERROR($AC94/3600/'Grundeinstellungen'!$C$15/'Grundeinstellungen'!$J$22,""))</f>
        <v/>
      </c>
      <c r="AF94" s="72">
        <f>IF(OR($B94="",$AE94=""),"",IFERROR($AE94*'Grundeinstellungen'!$J$21/'Grundeinstellungen'!$C$17,""))</f>
        <v/>
      </c>
      <c r="AG94" s="73">
        <f>IF(OR($B94="",$AF94=""),"",IF($AF94&lt;2300,"laminar",IF($AF94&lt;4000,"Übergangsbereich","turbulent")))</f>
        <v/>
      </c>
      <c r="AH94" s="74">
        <f>IF(OR($B94="",$AF94=""),"",IF($AF94&lt;2300,64/$AF94,0.316/$AF94^0.25))</f>
        <v/>
      </c>
      <c r="AI94" s="75">
        <f>IF(OR($B94="",$AH94="",$AB94=""),"",IFERROR($AH94*($AB94/'Grundeinstellungen'!$J$21)*('Grundeinstellungen'!$C$15/2)*$AE94^2,""))</f>
        <v/>
      </c>
      <c r="AJ94" s="76">
        <f>IF(OR($B94="",$AI94="",$AB94=""),"",IFERROR($AI94/$AB94,""))</f>
        <v/>
      </c>
      <c r="AK94" s="75">
        <f>IF(OR($B94="",$AI94=""),"",$AI94*(1+'Grundeinstellungen'!$C$24)+'Grundeinstellungen'!$C$25)</f>
        <v/>
      </c>
    </row>
    <row r="95">
      <c r="A95" s="51" t="n"/>
      <c r="B95" s="51" t="n"/>
      <c r="C95" s="51" t="n"/>
      <c r="D95" s="52" t="n"/>
      <c r="E95" s="53" t="n"/>
      <c r="F95" s="54" t="n"/>
      <c r="G95" s="55">
        <f>IF($B95="","",IFERROR($F95/$D95,""))</f>
        <v/>
      </c>
      <c r="H95" s="52" t="n"/>
      <c r="I95" s="56" t="n"/>
      <c r="J95" s="57" t="n"/>
      <c r="K95" s="58" t="n"/>
      <c r="L95" s="59" t="n"/>
      <c r="M95" s="60" t="n"/>
      <c r="N95" s="61">
        <f>IF($B95="","",IFERROR(('Grundeinstellungen'!$C$6-'Grundeinstellungen'!$C$7)/LN(('Grundeinstellungen'!$C$6-$E95)/('Grundeinstellungen'!$C$7-$E95)),""))</f>
        <v/>
      </c>
      <c r="O95" s="62">
        <f>IF($B95="","",IFERROR(IFERROR(INDEX('Konstanten'!$B$6:$B$10,MATCH($I95,'Konstanten'!$A$6:$A$10,1))+($I95-INDEX('Konstanten'!$A$6:$A$10,MATCH($I95,'Konstanten'!$A$6:$A$10,1)))/(INDEX('Konstanten'!$A$6:$A$10,MATCH($I95,'Konstanten'!$A$6:$A$10,1)+1)-INDEX('Konstanten'!$A$6:$A$10,MATCH($I95,'Konstanten'!$A$6:$A$10,1)))*(INDEX('Konstanten'!$B$6:$B$10,MATCH($I95,'Konstanten'!$A$6:$A$10,1)+1)-INDEX('Konstanten'!$B$6:$B$10,MATCH($I95,'Konstanten'!$A$6:$A$10,1))),INDEX('Konstanten'!$B$6:$B$10,MATCH($I95,'Konstanten'!$A$6:$A$10,1))),""))</f>
        <v/>
      </c>
      <c r="P95" s="62">
        <f>IF($B95="","",IFERROR(IFERROR(INDEX('Konstanten'!$C$6:$C$10,MATCH($I95,'Konstanten'!$A$6:$A$10,1))+($I95-INDEX('Konstanten'!$A$6:$A$10,MATCH($I95,'Konstanten'!$A$6:$A$10,1)))/(INDEX('Konstanten'!$A$6:$A$10,MATCH($I95,'Konstanten'!$A$6:$A$10,1)+1)-INDEX('Konstanten'!$A$6:$A$10,MATCH($I95,'Konstanten'!$A$6:$A$10,1)))*(INDEX('Konstanten'!$C$6:$C$10,MATCH($I95,'Konstanten'!$A$6:$A$10,1)+1)-INDEX('Konstanten'!$C$6:$C$10,MATCH($I95,'Konstanten'!$A$6:$A$10,1))),INDEX('Konstanten'!$C$6:$C$10,MATCH($I95,'Konstanten'!$A$6:$A$10,1))),""))</f>
        <v/>
      </c>
      <c r="Q95" s="63">
        <f>IF(OR($B95="",$N95="",$O95="",$P95=""),"",'Konstanten'!$C$13*$O95*$P95^(1-($J95/1000)/0.075)*'Konstanten'!$C$14^'Konstanten'!$C$16*'Konstanten'!$C$15^'Konstanten'!$C$17*$N95)</f>
        <v/>
      </c>
      <c r="R95" s="64">
        <f>IF(OR($B95="",$Q95=""),"",$E95+$Q95/'Grundeinstellungen'!$J$6)</f>
        <v/>
      </c>
      <c r="S95" s="64">
        <f>IF($B95="","",IFERROR(VLOOKUP($M95,'Konstanten'!$H$6:$I$13,2,FALSE),29))</f>
        <v/>
      </c>
      <c r="T95" s="65">
        <f>IF(OR($B95="",$Q95=""),"",$Q95*$H95)</f>
        <v/>
      </c>
      <c r="U95" s="66">
        <f>IF(OR($B95="",$T95=""),"",$T95-$F95)</f>
        <v/>
      </c>
      <c r="V95" s="67">
        <f>IF(OR($B95="",$T95=""),"",IFERROR($T95/$F95,""))</f>
        <v/>
      </c>
      <c r="W95" s="65">
        <f>IF(OR($B95="",$H95=""),"",'Grundeinstellungen'!$J$13*$H95)</f>
        <v/>
      </c>
      <c r="X95" s="65">
        <f>IF(OR($B95="",$T95=""),"",MIN($T95,$F95)+$W95)</f>
        <v/>
      </c>
      <c r="Y95" s="68">
        <f>IF($B95="","",IFERROR($H95/($J95/1000),""))</f>
        <v/>
      </c>
      <c r="Z95" s="68">
        <f>IF($B95="","",IFERROR(2*$L95*$K95,""))</f>
        <v/>
      </c>
      <c r="AA95" s="68">
        <f>IF(OR($B95="",$Y95="",$Z95=""),"",$Y95+$Z95)</f>
        <v/>
      </c>
      <c r="AB95" s="68">
        <f>IF(OR($B95="",$AA95=""),"",IFERROR($AA95/$K95,""))</f>
        <v/>
      </c>
      <c r="AC95" s="69">
        <f>IF(OR($B95="",$X95=""),"",IFERROR(($X95/$K95)/('Grundeinstellungen'!$C$16*('Grundeinstellungen'!$C$6-'Grundeinstellungen'!$C$7))*3600,""))</f>
        <v/>
      </c>
      <c r="AD95" s="70">
        <f>IF(OR($B95="",$AC95=""),"",$AC95/'Grundeinstellungen'!$C$15*1000)</f>
        <v/>
      </c>
      <c r="AE95" s="71">
        <f>IF(OR($B95="",$AC95=""),"",IFERROR($AC95/3600/'Grundeinstellungen'!$C$15/'Grundeinstellungen'!$J$22,""))</f>
        <v/>
      </c>
      <c r="AF95" s="72">
        <f>IF(OR($B95="",$AE95=""),"",IFERROR($AE95*'Grundeinstellungen'!$J$21/'Grundeinstellungen'!$C$17,""))</f>
        <v/>
      </c>
      <c r="AG95" s="73">
        <f>IF(OR($B95="",$AF95=""),"",IF($AF95&lt;2300,"laminar",IF($AF95&lt;4000,"Übergangsbereich","turbulent")))</f>
        <v/>
      </c>
      <c r="AH95" s="74">
        <f>IF(OR($B95="",$AF95=""),"",IF($AF95&lt;2300,64/$AF95,0.316/$AF95^0.25))</f>
        <v/>
      </c>
      <c r="AI95" s="75">
        <f>IF(OR($B95="",$AH95="",$AB95=""),"",IFERROR($AH95*($AB95/'Grundeinstellungen'!$J$21)*('Grundeinstellungen'!$C$15/2)*$AE95^2,""))</f>
        <v/>
      </c>
      <c r="AJ95" s="76">
        <f>IF(OR($B95="",$AI95="",$AB95=""),"",IFERROR($AI95/$AB95,""))</f>
        <v/>
      </c>
      <c r="AK95" s="75">
        <f>IF(OR($B95="",$AI95=""),"",$AI95*(1+'Grundeinstellungen'!$C$24)+'Grundeinstellungen'!$C$25)</f>
        <v/>
      </c>
    </row>
    <row r="96">
      <c r="A96" s="51" t="n"/>
      <c r="B96" s="51" t="n"/>
      <c r="C96" s="51" t="n"/>
      <c r="D96" s="52" t="n"/>
      <c r="E96" s="53" t="n"/>
      <c r="F96" s="54" t="n"/>
      <c r="G96" s="55">
        <f>IF($B96="","",IFERROR($F96/$D96,""))</f>
        <v/>
      </c>
      <c r="H96" s="52" t="n"/>
      <c r="I96" s="56" t="n"/>
      <c r="J96" s="57" t="n"/>
      <c r="K96" s="58" t="n"/>
      <c r="L96" s="59" t="n"/>
      <c r="M96" s="60" t="n"/>
      <c r="N96" s="61">
        <f>IF($B96="","",IFERROR(('Grundeinstellungen'!$C$6-'Grundeinstellungen'!$C$7)/LN(('Grundeinstellungen'!$C$6-$E96)/('Grundeinstellungen'!$C$7-$E96)),""))</f>
        <v/>
      </c>
      <c r="O96" s="62">
        <f>IF($B96="","",IFERROR(IFERROR(INDEX('Konstanten'!$B$6:$B$10,MATCH($I96,'Konstanten'!$A$6:$A$10,1))+($I96-INDEX('Konstanten'!$A$6:$A$10,MATCH($I96,'Konstanten'!$A$6:$A$10,1)))/(INDEX('Konstanten'!$A$6:$A$10,MATCH($I96,'Konstanten'!$A$6:$A$10,1)+1)-INDEX('Konstanten'!$A$6:$A$10,MATCH($I96,'Konstanten'!$A$6:$A$10,1)))*(INDEX('Konstanten'!$B$6:$B$10,MATCH($I96,'Konstanten'!$A$6:$A$10,1)+1)-INDEX('Konstanten'!$B$6:$B$10,MATCH($I96,'Konstanten'!$A$6:$A$10,1))),INDEX('Konstanten'!$B$6:$B$10,MATCH($I96,'Konstanten'!$A$6:$A$10,1))),""))</f>
        <v/>
      </c>
      <c r="P96" s="62">
        <f>IF($B96="","",IFERROR(IFERROR(INDEX('Konstanten'!$C$6:$C$10,MATCH($I96,'Konstanten'!$A$6:$A$10,1))+($I96-INDEX('Konstanten'!$A$6:$A$10,MATCH($I96,'Konstanten'!$A$6:$A$10,1)))/(INDEX('Konstanten'!$A$6:$A$10,MATCH($I96,'Konstanten'!$A$6:$A$10,1)+1)-INDEX('Konstanten'!$A$6:$A$10,MATCH($I96,'Konstanten'!$A$6:$A$10,1)))*(INDEX('Konstanten'!$C$6:$C$10,MATCH($I96,'Konstanten'!$A$6:$A$10,1)+1)-INDEX('Konstanten'!$C$6:$C$10,MATCH($I96,'Konstanten'!$A$6:$A$10,1))),INDEX('Konstanten'!$C$6:$C$10,MATCH($I96,'Konstanten'!$A$6:$A$10,1))),""))</f>
        <v/>
      </c>
      <c r="Q96" s="63">
        <f>IF(OR($B96="",$N96="",$O96="",$P96=""),"",'Konstanten'!$C$13*$O96*$P96^(1-($J96/1000)/0.075)*'Konstanten'!$C$14^'Konstanten'!$C$16*'Konstanten'!$C$15^'Konstanten'!$C$17*$N96)</f>
        <v/>
      </c>
      <c r="R96" s="64">
        <f>IF(OR($B96="",$Q96=""),"",$E96+$Q96/'Grundeinstellungen'!$J$6)</f>
        <v/>
      </c>
      <c r="S96" s="64">
        <f>IF($B96="","",IFERROR(VLOOKUP($M96,'Konstanten'!$H$6:$I$13,2,FALSE),29))</f>
        <v/>
      </c>
      <c r="T96" s="65">
        <f>IF(OR($B96="",$Q96=""),"",$Q96*$H96)</f>
        <v/>
      </c>
      <c r="U96" s="66">
        <f>IF(OR($B96="",$T96=""),"",$T96-$F96)</f>
        <v/>
      </c>
      <c r="V96" s="67">
        <f>IF(OR($B96="",$T96=""),"",IFERROR($T96/$F96,""))</f>
        <v/>
      </c>
      <c r="W96" s="65">
        <f>IF(OR($B96="",$H96=""),"",'Grundeinstellungen'!$J$13*$H96)</f>
        <v/>
      </c>
      <c r="X96" s="65">
        <f>IF(OR($B96="",$T96=""),"",MIN($T96,$F96)+$W96)</f>
        <v/>
      </c>
      <c r="Y96" s="68">
        <f>IF($B96="","",IFERROR($H96/($J96/1000),""))</f>
        <v/>
      </c>
      <c r="Z96" s="68">
        <f>IF($B96="","",IFERROR(2*$L96*$K96,""))</f>
        <v/>
      </c>
      <c r="AA96" s="68">
        <f>IF(OR($B96="",$Y96="",$Z96=""),"",$Y96+$Z96)</f>
        <v/>
      </c>
      <c r="AB96" s="68">
        <f>IF(OR($B96="",$AA96=""),"",IFERROR($AA96/$K96,""))</f>
        <v/>
      </c>
      <c r="AC96" s="69">
        <f>IF(OR($B96="",$X96=""),"",IFERROR(($X96/$K96)/('Grundeinstellungen'!$C$16*('Grundeinstellungen'!$C$6-'Grundeinstellungen'!$C$7))*3600,""))</f>
        <v/>
      </c>
      <c r="AD96" s="70">
        <f>IF(OR($B96="",$AC96=""),"",$AC96/'Grundeinstellungen'!$C$15*1000)</f>
        <v/>
      </c>
      <c r="AE96" s="71">
        <f>IF(OR($B96="",$AC96=""),"",IFERROR($AC96/3600/'Grundeinstellungen'!$C$15/'Grundeinstellungen'!$J$22,""))</f>
        <v/>
      </c>
      <c r="AF96" s="72">
        <f>IF(OR($B96="",$AE96=""),"",IFERROR($AE96*'Grundeinstellungen'!$J$21/'Grundeinstellungen'!$C$17,""))</f>
        <v/>
      </c>
      <c r="AG96" s="73">
        <f>IF(OR($B96="",$AF96=""),"",IF($AF96&lt;2300,"laminar",IF($AF96&lt;4000,"Übergangsbereich","turbulent")))</f>
        <v/>
      </c>
      <c r="AH96" s="74">
        <f>IF(OR($B96="",$AF96=""),"",IF($AF96&lt;2300,64/$AF96,0.316/$AF96^0.25))</f>
        <v/>
      </c>
      <c r="AI96" s="75">
        <f>IF(OR($B96="",$AH96="",$AB96=""),"",IFERROR($AH96*($AB96/'Grundeinstellungen'!$J$21)*('Grundeinstellungen'!$C$15/2)*$AE96^2,""))</f>
        <v/>
      </c>
      <c r="AJ96" s="76">
        <f>IF(OR($B96="",$AI96="",$AB96=""),"",IFERROR($AI96/$AB96,""))</f>
        <v/>
      </c>
      <c r="AK96" s="75">
        <f>IF(OR($B96="",$AI96=""),"",$AI96*(1+'Grundeinstellungen'!$C$24)+'Grundeinstellungen'!$C$25)</f>
        <v/>
      </c>
    </row>
    <row r="97">
      <c r="A97" s="51" t="n"/>
      <c r="B97" s="51" t="n"/>
      <c r="C97" s="51" t="n"/>
      <c r="D97" s="52" t="n"/>
      <c r="E97" s="53" t="n"/>
      <c r="F97" s="54" t="n"/>
      <c r="G97" s="55">
        <f>IF($B97="","",IFERROR($F97/$D97,""))</f>
        <v/>
      </c>
      <c r="H97" s="52" t="n"/>
      <c r="I97" s="56" t="n"/>
      <c r="J97" s="57" t="n"/>
      <c r="K97" s="58" t="n"/>
      <c r="L97" s="59" t="n"/>
      <c r="M97" s="60" t="n"/>
      <c r="N97" s="61">
        <f>IF($B97="","",IFERROR(('Grundeinstellungen'!$C$6-'Grundeinstellungen'!$C$7)/LN(('Grundeinstellungen'!$C$6-$E97)/('Grundeinstellungen'!$C$7-$E97)),""))</f>
        <v/>
      </c>
      <c r="O97" s="62">
        <f>IF($B97="","",IFERROR(IFERROR(INDEX('Konstanten'!$B$6:$B$10,MATCH($I97,'Konstanten'!$A$6:$A$10,1))+($I97-INDEX('Konstanten'!$A$6:$A$10,MATCH($I97,'Konstanten'!$A$6:$A$10,1)))/(INDEX('Konstanten'!$A$6:$A$10,MATCH($I97,'Konstanten'!$A$6:$A$10,1)+1)-INDEX('Konstanten'!$A$6:$A$10,MATCH($I97,'Konstanten'!$A$6:$A$10,1)))*(INDEX('Konstanten'!$B$6:$B$10,MATCH($I97,'Konstanten'!$A$6:$A$10,1)+1)-INDEX('Konstanten'!$B$6:$B$10,MATCH($I97,'Konstanten'!$A$6:$A$10,1))),INDEX('Konstanten'!$B$6:$B$10,MATCH($I97,'Konstanten'!$A$6:$A$10,1))),""))</f>
        <v/>
      </c>
      <c r="P97" s="62">
        <f>IF($B97="","",IFERROR(IFERROR(INDEX('Konstanten'!$C$6:$C$10,MATCH($I97,'Konstanten'!$A$6:$A$10,1))+($I97-INDEX('Konstanten'!$A$6:$A$10,MATCH($I97,'Konstanten'!$A$6:$A$10,1)))/(INDEX('Konstanten'!$A$6:$A$10,MATCH($I97,'Konstanten'!$A$6:$A$10,1)+1)-INDEX('Konstanten'!$A$6:$A$10,MATCH($I97,'Konstanten'!$A$6:$A$10,1)))*(INDEX('Konstanten'!$C$6:$C$10,MATCH($I97,'Konstanten'!$A$6:$A$10,1)+1)-INDEX('Konstanten'!$C$6:$C$10,MATCH($I97,'Konstanten'!$A$6:$A$10,1))),INDEX('Konstanten'!$C$6:$C$10,MATCH($I97,'Konstanten'!$A$6:$A$10,1))),""))</f>
        <v/>
      </c>
      <c r="Q97" s="63">
        <f>IF(OR($B97="",$N97="",$O97="",$P97=""),"",'Konstanten'!$C$13*$O97*$P97^(1-($J97/1000)/0.075)*'Konstanten'!$C$14^'Konstanten'!$C$16*'Konstanten'!$C$15^'Konstanten'!$C$17*$N97)</f>
        <v/>
      </c>
      <c r="R97" s="64">
        <f>IF(OR($B97="",$Q97=""),"",$E97+$Q97/'Grundeinstellungen'!$J$6)</f>
        <v/>
      </c>
      <c r="S97" s="64">
        <f>IF($B97="","",IFERROR(VLOOKUP($M97,'Konstanten'!$H$6:$I$13,2,FALSE),29))</f>
        <v/>
      </c>
      <c r="T97" s="65">
        <f>IF(OR($B97="",$Q97=""),"",$Q97*$H97)</f>
        <v/>
      </c>
      <c r="U97" s="66">
        <f>IF(OR($B97="",$T97=""),"",$T97-$F97)</f>
        <v/>
      </c>
      <c r="V97" s="67">
        <f>IF(OR($B97="",$T97=""),"",IFERROR($T97/$F97,""))</f>
        <v/>
      </c>
      <c r="W97" s="65">
        <f>IF(OR($B97="",$H97=""),"",'Grundeinstellungen'!$J$13*$H97)</f>
        <v/>
      </c>
      <c r="X97" s="65">
        <f>IF(OR($B97="",$T97=""),"",MIN($T97,$F97)+$W97)</f>
        <v/>
      </c>
      <c r="Y97" s="68">
        <f>IF($B97="","",IFERROR($H97/($J97/1000),""))</f>
        <v/>
      </c>
      <c r="Z97" s="68">
        <f>IF($B97="","",IFERROR(2*$L97*$K97,""))</f>
        <v/>
      </c>
      <c r="AA97" s="68">
        <f>IF(OR($B97="",$Y97="",$Z97=""),"",$Y97+$Z97)</f>
        <v/>
      </c>
      <c r="AB97" s="68">
        <f>IF(OR($B97="",$AA97=""),"",IFERROR($AA97/$K97,""))</f>
        <v/>
      </c>
      <c r="AC97" s="69">
        <f>IF(OR($B97="",$X97=""),"",IFERROR(($X97/$K97)/('Grundeinstellungen'!$C$16*('Grundeinstellungen'!$C$6-'Grundeinstellungen'!$C$7))*3600,""))</f>
        <v/>
      </c>
      <c r="AD97" s="70">
        <f>IF(OR($B97="",$AC97=""),"",$AC97/'Grundeinstellungen'!$C$15*1000)</f>
        <v/>
      </c>
      <c r="AE97" s="71">
        <f>IF(OR($B97="",$AC97=""),"",IFERROR($AC97/3600/'Grundeinstellungen'!$C$15/'Grundeinstellungen'!$J$22,""))</f>
        <v/>
      </c>
      <c r="AF97" s="72">
        <f>IF(OR($B97="",$AE97=""),"",IFERROR($AE97*'Grundeinstellungen'!$J$21/'Grundeinstellungen'!$C$17,""))</f>
        <v/>
      </c>
      <c r="AG97" s="73">
        <f>IF(OR($B97="",$AF97=""),"",IF($AF97&lt;2300,"laminar",IF($AF97&lt;4000,"Übergangsbereich","turbulent")))</f>
        <v/>
      </c>
      <c r="AH97" s="74">
        <f>IF(OR($B97="",$AF97=""),"",IF($AF97&lt;2300,64/$AF97,0.316/$AF97^0.25))</f>
        <v/>
      </c>
      <c r="AI97" s="75">
        <f>IF(OR($B97="",$AH97="",$AB97=""),"",IFERROR($AH97*($AB97/'Grundeinstellungen'!$J$21)*('Grundeinstellungen'!$C$15/2)*$AE97^2,""))</f>
        <v/>
      </c>
      <c r="AJ97" s="76">
        <f>IF(OR($B97="",$AI97="",$AB97=""),"",IFERROR($AI97/$AB97,""))</f>
        <v/>
      </c>
      <c r="AK97" s="75">
        <f>IF(OR($B97="",$AI97=""),"",$AI97*(1+'Grundeinstellungen'!$C$24)+'Grundeinstellungen'!$C$25)</f>
        <v/>
      </c>
    </row>
    <row r="98">
      <c r="A98" s="51" t="n"/>
      <c r="B98" s="51" t="n"/>
      <c r="C98" s="51" t="n"/>
      <c r="D98" s="52" t="n"/>
      <c r="E98" s="53" t="n"/>
      <c r="F98" s="54" t="n"/>
      <c r="G98" s="55">
        <f>IF($B98="","",IFERROR($F98/$D98,""))</f>
        <v/>
      </c>
      <c r="H98" s="52" t="n"/>
      <c r="I98" s="56" t="n"/>
      <c r="J98" s="57" t="n"/>
      <c r="K98" s="58" t="n"/>
      <c r="L98" s="59" t="n"/>
      <c r="M98" s="60" t="n"/>
      <c r="N98" s="61">
        <f>IF($B98="","",IFERROR(('Grundeinstellungen'!$C$6-'Grundeinstellungen'!$C$7)/LN(('Grundeinstellungen'!$C$6-$E98)/('Grundeinstellungen'!$C$7-$E98)),""))</f>
        <v/>
      </c>
      <c r="O98" s="62">
        <f>IF($B98="","",IFERROR(IFERROR(INDEX('Konstanten'!$B$6:$B$10,MATCH($I98,'Konstanten'!$A$6:$A$10,1))+($I98-INDEX('Konstanten'!$A$6:$A$10,MATCH($I98,'Konstanten'!$A$6:$A$10,1)))/(INDEX('Konstanten'!$A$6:$A$10,MATCH($I98,'Konstanten'!$A$6:$A$10,1)+1)-INDEX('Konstanten'!$A$6:$A$10,MATCH($I98,'Konstanten'!$A$6:$A$10,1)))*(INDEX('Konstanten'!$B$6:$B$10,MATCH($I98,'Konstanten'!$A$6:$A$10,1)+1)-INDEX('Konstanten'!$B$6:$B$10,MATCH($I98,'Konstanten'!$A$6:$A$10,1))),INDEX('Konstanten'!$B$6:$B$10,MATCH($I98,'Konstanten'!$A$6:$A$10,1))),""))</f>
        <v/>
      </c>
      <c r="P98" s="62">
        <f>IF($B98="","",IFERROR(IFERROR(INDEX('Konstanten'!$C$6:$C$10,MATCH($I98,'Konstanten'!$A$6:$A$10,1))+($I98-INDEX('Konstanten'!$A$6:$A$10,MATCH($I98,'Konstanten'!$A$6:$A$10,1)))/(INDEX('Konstanten'!$A$6:$A$10,MATCH($I98,'Konstanten'!$A$6:$A$10,1)+1)-INDEX('Konstanten'!$A$6:$A$10,MATCH($I98,'Konstanten'!$A$6:$A$10,1)))*(INDEX('Konstanten'!$C$6:$C$10,MATCH($I98,'Konstanten'!$A$6:$A$10,1)+1)-INDEX('Konstanten'!$C$6:$C$10,MATCH($I98,'Konstanten'!$A$6:$A$10,1))),INDEX('Konstanten'!$C$6:$C$10,MATCH($I98,'Konstanten'!$A$6:$A$10,1))),""))</f>
        <v/>
      </c>
      <c r="Q98" s="63">
        <f>IF(OR($B98="",$N98="",$O98="",$P98=""),"",'Konstanten'!$C$13*$O98*$P98^(1-($J98/1000)/0.075)*'Konstanten'!$C$14^'Konstanten'!$C$16*'Konstanten'!$C$15^'Konstanten'!$C$17*$N98)</f>
        <v/>
      </c>
      <c r="R98" s="64">
        <f>IF(OR($B98="",$Q98=""),"",$E98+$Q98/'Grundeinstellungen'!$J$6)</f>
        <v/>
      </c>
      <c r="S98" s="64">
        <f>IF($B98="","",IFERROR(VLOOKUP($M98,'Konstanten'!$H$6:$I$13,2,FALSE),29))</f>
        <v/>
      </c>
      <c r="T98" s="65">
        <f>IF(OR($B98="",$Q98=""),"",$Q98*$H98)</f>
        <v/>
      </c>
      <c r="U98" s="66">
        <f>IF(OR($B98="",$T98=""),"",$T98-$F98)</f>
        <v/>
      </c>
      <c r="V98" s="67">
        <f>IF(OR($B98="",$T98=""),"",IFERROR($T98/$F98,""))</f>
        <v/>
      </c>
      <c r="W98" s="65">
        <f>IF(OR($B98="",$H98=""),"",'Grundeinstellungen'!$J$13*$H98)</f>
        <v/>
      </c>
      <c r="X98" s="65">
        <f>IF(OR($B98="",$T98=""),"",MIN($T98,$F98)+$W98)</f>
        <v/>
      </c>
      <c r="Y98" s="68">
        <f>IF($B98="","",IFERROR($H98/($J98/1000),""))</f>
        <v/>
      </c>
      <c r="Z98" s="68">
        <f>IF($B98="","",IFERROR(2*$L98*$K98,""))</f>
        <v/>
      </c>
      <c r="AA98" s="68">
        <f>IF(OR($B98="",$Y98="",$Z98=""),"",$Y98+$Z98)</f>
        <v/>
      </c>
      <c r="AB98" s="68">
        <f>IF(OR($B98="",$AA98=""),"",IFERROR($AA98/$K98,""))</f>
        <v/>
      </c>
      <c r="AC98" s="69">
        <f>IF(OR($B98="",$X98=""),"",IFERROR(($X98/$K98)/('Grundeinstellungen'!$C$16*('Grundeinstellungen'!$C$6-'Grundeinstellungen'!$C$7))*3600,""))</f>
        <v/>
      </c>
      <c r="AD98" s="70">
        <f>IF(OR($B98="",$AC98=""),"",$AC98/'Grundeinstellungen'!$C$15*1000)</f>
        <v/>
      </c>
      <c r="AE98" s="71">
        <f>IF(OR($B98="",$AC98=""),"",IFERROR($AC98/3600/'Grundeinstellungen'!$C$15/'Grundeinstellungen'!$J$22,""))</f>
        <v/>
      </c>
      <c r="AF98" s="72">
        <f>IF(OR($B98="",$AE98=""),"",IFERROR($AE98*'Grundeinstellungen'!$J$21/'Grundeinstellungen'!$C$17,""))</f>
        <v/>
      </c>
      <c r="AG98" s="73">
        <f>IF(OR($B98="",$AF98=""),"",IF($AF98&lt;2300,"laminar",IF($AF98&lt;4000,"Übergangsbereich","turbulent")))</f>
        <v/>
      </c>
      <c r="AH98" s="74">
        <f>IF(OR($B98="",$AF98=""),"",IF($AF98&lt;2300,64/$AF98,0.316/$AF98^0.25))</f>
        <v/>
      </c>
      <c r="AI98" s="75">
        <f>IF(OR($B98="",$AH98="",$AB98=""),"",IFERROR($AH98*($AB98/'Grundeinstellungen'!$J$21)*('Grundeinstellungen'!$C$15/2)*$AE98^2,""))</f>
        <v/>
      </c>
      <c r="AJ98" s="76">
        <f>IF(OR($B98="",$AI98="",$AB98=""),"",IFERROR($AI98/$AB98,""))</f>
        <v/>
      </c>
      <c r="AK98" s="75">
        <f>IF(OR($B98="",$AI98=""),"",$AI98*(1+'Grundeinstellungen'!$C$24)+'Grundeinstellungen'!$C$25)</f>
        <v/>
      </c>
    </row>
    <row r="99">
      <c r="A99" s="51" t="n"/>
      <c r="B99" s="51" t="n"/>
      <c r="C99" s="51" t="n"/>
      <c r="D99" s="52" t="n"/>
      <c r="E99" s="53" t="n"/>
      <c r="F99" s="54" t="n"/>
      <c r="G99" s="55">
        <f>IF($B99="","",IFERROR($F99/$D99,""))</f>
        <v/>
      </c>
      <c r="H99" s="52" t="n"/>
      <c r="I99" s="56" t="n"/>
      <c r="J99" s="57" t="n"/>
      <c r="K99" s="58" t="n"/>
      <c r="L99" s="59" t="n"/>
      <c r="M99" s="60" t="n"/>
      <c r="N99" s="61">
        <f>IF($B99="","",IFERROR(('Grundeinstellungen'!$C$6-'Grundeinstellungen'!$C$7)/LN(('Grundeinstellungen'!$C$6-$E99)/('Grundeinstellungen'!$C$7-$E99)),""))</f>
        <v/>
      </c>
      <c r="O99" s="62">
        <f>IF($B99="","",IFERROR(IFERROR(INDEX('Konstanten'!$B$6:$B$10,MATCH($I99,'Konstanten'!$A$6:$A$10,1))+($I99-INDEX('Konstanten'!$A$6:$A$10,MATCH($I99,'Konstanten'!$A$6:$A$10,1)))/(INDEX('Konstanten'!$A$6:$A$10,MATCH($I99,'Konstanten'!$A$6:$A$10,1)+1)-INDEX('Konstanten'!$A$6:$A$10,MATCH($I99,'Konstanten'!$A$6:$A$10,1)))*(INDEX('Konstanten'!$B$6:$B$10,MATCH($I99,'Konstanten'!$A$6:$A$10,1)+1)-INDEX('Konstanten'!$B$6:$B$10,MATCH($I99,'Konstanten'!$A$6:$A$10,1))),INDEX('Konstanten'!$B$6:$B$10,MATCH($I99,'Konstanten'!$A$6:$A$10,1))),""))</f>
        <v/>
      </c>
      <c r="P99" s="62">
        <f>IF($B99="","",IFERROR(IFERROR(INDEX('Konstanten'!$C$6:$C$10,MATCH($I99,'Konstanten'!$A$6:$A$10,1))+($I99-INDEX('Konstanten'!$A$6:$A$10,MATCH($I99,'Konstanten'!$A$6:$A$10,1)))/(INDEX('Konstanten'!$A$6:$A$10,MATCH($I99,'Konstanten'!$A$6:$A$10,1)+1)-INDEX('Konstanten'!$A$6:$A$10,MATCH($I99,'Konstanten'!$A$6:$A$10,1)))*(INDEX('Konstanten'!$C$6:$C$10,MATCH($I99,'Konstanten'!$A$6:$A$10,1)+1)-INDEX('Konstanten'!$C$6:$C$10,MATCH($I99,'Konstanten'!$A$6:$A$10,1))),INDEX('Konstanten'!$C$6:$C$10,MATCH($I99,'Konstanten'!$A$6:$A$10,1))),""))</f>
        <v/>
      </c>
      <c r="Q99" s="63">
        <f>IF(OR($B99="",$N99="",$O99="",$P99=""),"",'Konstanten'!$C$13*$O99*$P99^(1-($J99/1000)/0.075)*'Konstanten'!$C$14^'Konstanten'!$C$16*'Konstanten'!$C$15^'Konstanten'!$C$17*$N99)</f>
        <v/>
      </c>
      <c r="R99" s="64">
        <f>IF(OR($B99="",$Q99=""),"",$E99+$Q99/'Grundeinstellungen'!$J$6)</f>
        <v/>
      </c>
      <c r="S99" s="64">
        <f>IF($B99="","",IFERROR(VLOOKUP($M99,'Konstanten'!$H$6:$I$13,2,FALSE),29))</f>
        <v/>
      </c>
      <c r="T99" s="65">
        <f>IF(OR($B99="",$Q99=""),"",$Q99*$H99)</f>
        <v/>
      </c>
      <c r="U99" s="66">
        <f>IF(OR($B99="",$T99=""),"",$T99-$F99)</f>
        <v/>
      </c>
      <c r="V99" s="67">
        <f>IF(OR($B99="",$T99=""),"",IFERROR($T99/$F99,""))</f>
        <v/>
      </c>
      <c r="W99" s="65">
        <f>IF(OR($B99="",$H99=""),"",'Grundeinstellungen'!$J$13*$H99)</f>
        <v/>
      </c>
      <c r="X99" s="65">
        <f>IF(OR($B99="",$T99=""),"",MIN($T99,$F99)+$W99)</f>
        <v/>
      </c>
      <c r="Y99" s="68">
        <f>IF($B99="","",IFERROR($H99/($J99/1000),""))</f>
        <v/>
      </c>
      <c r="Z99" s="68">
        <f>IF($B99="","",IFERROR(2*$L99*$K99,""))</f>
        <v/>
      </c>
      <c r="AA99" s="68">
        <f>IF(OR($B99="",$Y99="",$Z99=""),"",$Y99+$Z99)</f>
        <v/>
      </c>
      <c r="AB99" s="68">
        <f>IF(OR($B99="",$AA99=""),"",IFERROR($AA99/$K99,""))</f>
        <v/>
      </c>
      <c r="AC99" s="69">
        <f>IF(OR($B99="",$X99=""),"",IFERROR(($X99/$K99)/('Grundeinstellungen'!$C$16*('Grundeinstellungen'!$C$6-'Grundeinstellungen'!$C$7))*3600,""))</f>
        <v/>
      </c>
      <c r="AD99" s="70">
        <f>IF(OR($B99="",$AC99=""),"",$AC99/'Grundeinstellungen'!$C$15*1000)</f>
        <v/>
      </c>
      <c r="AE99" s="71">
        <f>IF(OR($B99="",$AC99=""),"",IFERROR($AC99/3600/'Grundeinstellungen'!$C$15/'Grundeinstellungen'!$J$22,""))</f>
        <v/>
      </c>
      <c r="AF99" s="72">
        <f>IF(OR($B99="",$AE99=""),"",IFERROR($AE99*'Grundeinstellungen'!$J$21/'Grundeinstellungen'!$C$17,""))</f>
        <v/>
      </c>
      <c r="AG99" s="73">
        <f>IF(OR($B99="",$AF99=""),"",IF($AF99&lt;2300,"laminar",IF($AF99&lt;4000,"Übergangsbereich","turbulent")))</f>
        <v/>
      </c>
      <c r="AH99" s="74">
        <f>IF(OR($B99="",$AF99=""),"",IF($AF99&lt;2300,64/$AF99,0.316/$AF99^0.25))</f>
        <v/>
      </c>
      <c r="AI99" s="75">
        <f>IF(OR($B99="",$AH99="",$AB99=""),"",IFERROR($AH99*($AB99/'Grundeinstellungen'!$J$21)*('Grundeinstellungen'!$C$15/2)*$AE99^2,""))</f>
        <v/>
      </c>
      <c r="AJ99" s="76">
        <f>IF(OR($B99="",$AI99="",$AB99=""),"",IFERROR($AI99/$AB99,""))</f>
        <v/>
      </c>
      <c r="AK99" s="75">
        <f>IF(OR($B99="",$AI99=""),"",$AI99*(1+'Grundeinstellungen'!$C$24)+'Grundeinstellungen'!$C$25)</f>
        <v/>
      </c>
    </row>
    <row r="100">
      <c r="A100" s="51" t="n"/>
      <c r="B100" s="51" t="n"/>
      <c r="C100" s="51" t="n"/>
      <c r="D100" s="52" t="n"/>
      <c r="E100" s="53" t="n"/>
      <c r="F100" s="54" t="n"/>
      <c r="G100" s="55">
        <f>IF($B100="","",IFERROR($F100/$D100,""))</f>
        <v/>
      </c>
      <c r="H100" s="52" t="n"/>
      <c r="I100" s="56" t="n"/>
      <c r="J100" s="57" t="n"/>
      <c r="K100" s="58" t="n"/>
      <c r="L100" s="59" t="n"/>
      <c r="M100" s="60" t="n"/>
      <c r="N100" s="61">
        <f>IF($B100="","",IFERROR(('Grundeinstellungen'!$C$6-'Grundeinstellungen'!$C$7)/LN(('Grundeinstellungen'!$C$6-$E100)/('Grundeinstellungen'!$C$7-$E100)),""))</f>
        <v/>
      </c>
      <c r="O100" s="62">
        <f>IF($B100="","",IFERROR(IFERROR(INDEX('Konstanten'!$B$6:$B$10,MATCH($I100,'Konstanten'!$A$6:$A$10,1))+($I100-INDEX('Konstanten'!$A$6:$A$10,MATCH($I100,'Konstanten'!$A$6:$A$10,1)))/(INDEX('Konstanten'!$A$6:$A$10,MATCH($I100,'Konstanten'!$A$6:$A$10,1)+1)-INDEX('Konstanten'!$A$6:$A$10,MATCH($I100,'Konstanten'!$A$6:$A$10,1)))*(INDEX('Konstanten'!$B$6:$B$10,MATCH($I100,'Konstanten'!$A$6:$A$10,1)+1)-INDEX('Konstanten'!$B$6:$B$10,MATCH($I100,'Konstanten'!$A$6:$A$10,1))),INDEX('Konstanten'!$B$6:$B$10,MATCH($I100,'Konstanten'!$A$6:$A$10,1))),""))</f>
        <v/>
      </c>
      <c r="P100" s="62">
        <f>IF($B100="","",IFERROR(IFERROR(INDEX('Konstanten'!$C$6:$C$10,MATCH($I100,'Konstanten'!$A$6:$A$10,1))+($I100-INDEX('Konstanten'!$A$6:$A$10,MATCH($I100,'Konstanten'!$A$6:$A$10,1)))/(INDEX('Konstanten'!$A$6:$A$10,MATCH($I100,'Konstanten'!$A$6:$A$10,1)+1)-INDEX('Konstanten'!$A$6:$A$10,MATCH($I100,'Konstanten'!$A$6:$A$10,1)))*(INDEX('Konstanten'!$C$6:$C$10,MATCH($I100,'Konstanten'!$A$6:$A$10,1)+1)-INDEX('Konstanten'!$C$6:$C$10,MATCH($I100,'Konstanten'!$A$6:$A$10,1))),INDEX('Konstanten'!$C$6:$C$10,MATCH($I100,'Konstanten'!$A$6:$A$10,1))),""))</f>
        <v/>
      </c>
      <c r="Q100" s="63">
        <f>IF(OR($B100="",$N100="",$O100="",$P100=""),"",'Konstanten'!$C$13*$O100*$P100^(1-($J100/1000)/0.075)*'Konstanten'!$C$14^'Konstanten'!$C$16*'Konstanten'!$C$15^'Konstanten'!$C$17*$N100)</f>
        <v/>
      </c>
      <c r="R100" s="64">
        <f>IF(OR($B100="",$Q100=""),"",$E100+$Q100/'Grundeinstellungen'!$J$6)</f>
        <v/>
      </c>
      <c r="S100" s="64">
        <f>IF($B100="","",IFERROR(VLOOKUP($M100,'Konstanten'!$H$6:$I$13,2,FALSE),29))</f>
        <v/>
      </c>
      <c r="T100" s="65">
        <f>IF(OR($B100="",$Q100=""),"",$Q100*$H100)</f>
        <v/>
      </c>
      <c r="U100" s="66">
        <f>IF(OR($B100="",$T100=""),"",$T100-$F100)</f>
        <v/>
      </c>
      <c r="V100" s="67">
        <f>IF(OR($B100="",$T100=""),"",IFERROR($T100/$F100,""))</f>
        <v/>
      </c>
      <c r="W100" s="65">
        <f>IF(OR($B100="",$H100=""),"",'Grundeinstellungen'!$J$13*$H100)</f>
        <v/>
      </c>
      <c r="X100" s="65">
        <f>IF(OR($B100="",$T100=""),"",MIN($T100,$F100)+$W100)</f>
        <v/>
      </c>
      <c r="Y100" s="68">
        <f>IF($B100="","",IFERROR($H100/($J100/1000),""))</f>
        <v/>
      </c>
      <c r="Z100" s="68">
        <f>IF($B100="","",IFERROR(2*$L100*$K100,""))</f>
        <v/>
      </c>
      <c r="AA100" s="68">
        <f>IF(OR($B100="",$Y100="",$Z100=""),"",$Y100+$Z100)</f>
        <v/>
      </c>
      <c r="AB100" s="68">
        <f>IF(OR($B100="",$AA100=""),"",IFERROR($AA100/$K100,""))</f>
        <v/>
      </c>
      <c r="AC100" s="69">
        <f>IF(OR($B100="",$X100=""),"",IFERROR(($X100/$K100)/('Grundeinstellungen'!$C$16*('Grundeinstellungen'!$C$6-'Grundeinstellungen'!$C$7))*3600,""))</f>
        <v/>
      </c>
      <c r="AD100" s="70">
        <f>IF(OR($B100="",$AC100=""),"",$AC100/'Grundeinstellungen'!$C$15*1000)</f>
        <v/>
      </c>
      <c r="AE100" s="71">
        <f>IF(OR($B100="",$AC100=""),"",IFERROR($AC100/3600/'Grundeinstellungen'!$C$15/'Grundeinstellungen'!$J$22,""))</f>
        <v/>
      </c>
      <c r="AF100" s="72">
        <f>IF(OR($B100="",$AE100=""),"",IFERROR($AE100*'Grundeinstellungen'!$J$21/'Grundeinstellungen'!$C$17,""))</f>
        <v/>
      </c>
      <c r="AG100" s="73">
        <f>IF(OR($B100="",$AF100=""),"",IF($AF100&lt;2300,"laminar",IF($AF100&lt;4000,"Übergangsbereich","turbulent")))</f>
        <v/>
      </c>
      <c r="AH100" s="74">
        <f>IF(OR($B100="",$AF100=""),"",IF($AF100&lt;2300,64/$AF100,0.316/$AF100^0.25))</f>
        <v/>
      </c>
      <c r="AI100" s="75">
        <f>IF(OR($B100="",$AH100="",$AB100=""),"",IFERROR($AH100*($AB100/'Grundeinstellungen'!$J$21)*('Grundeinstellungen'!$C$15/2)*$AE100^2,""))</f>
        <v/>
      </c>
      <c r="AJ100" s="76">
        <f>IF(OR($B100="",$AI100="",$AB100=""),"",IFERROR($AI100/$AB100,""))</f>
        <v/>
      </c>
      <c r="AK100" s="75">
        <f>IF(OR($B100="",$AI100=""),"",$AI100*(1+'Grundeinstellungen'!$C$24)+'Grundeinstellungen'!$C$25)</f>
        <v/>
      </c>
    </row>
    <row r="101">
      <c r="A101" s="51" t="n"/>
      <c r="B101" s="51" t="n"/>
      <c r="C101" s="51" t="n"/>
      <c r="D101" s="52" t="n"/>
      <c r="E101" s="53" t="n"/>
      <c r="F101" s="54" t="n"/>
      <c r="G101" s="55">
        <f>IF($B101="","",IFERROR($F101/$D101,""))</f>
        <v/>
      </c>
      <c r="H101" s="52" t="n"/>
      <c r="I101" s="56" t="n"/>
      <c r="J101" s="57" t="n"/>
      <c r="K101" s="58" t="n"/>
      <c r="L101" s="59" t="n"/>
      <c r="M101" s="60" t="n"/>
      <c r="N101" s="61">
        <f>IF($B101="","",IFERROR(('Grundeinstellungen'!$C$6-'Grundeinstellungen'!$C$7)/LN(('Grundeinstellungen'!$C$6-$E101)/('Grundeinstellungen'!$C$7-$E101)),""))</f>
        <v/>
      </c>
      <c r="O101" s="62">
        <f>IF($B101="","",IFERROR(IFERROR(INDEX('Konstanten'!$B$6:$B$10,MATCH($I101,'Konstanten'!$A$6:$A$10,1))+($I101-INDEX('Konstanten'!$A$6:$A$10,MATCH($I101,'Konstanten'!$A$6:$A$10,1)))/(INDEX('Konstanten'!$A$6:$A$10,MATCH($I101,'Konstanten'!$A$6:$A$10,1)+1)-INDEX('Konstanten'!$A$6:$A$10,MATCH($I101,'Konstanten'!$A$6:$A$10,1)))*(INDEX('Konstanten'!$B$6:$B$10,MATCH($I101,'Konstanten'!$A$6:$A$10,1)+1)-INDEX('Konstanten'!$B$6:$B$10,MATCH($I101,'Konstanten'!$A$6:$A$10,1))),INDEX('Konstanten'!$B$6:$B$10,MATCH($I101,'Konstanten'!$A$6:$A$10,1))),""))</f>
        <v/>
      </c>
      <c r="P101" s="62">
        <f>IF($B101="","",IFERROR(IFERROR(INDEX('Konstanten'!$C$6:$C$10,MATCH($I101,'Konstanten'!$A$6:$A$10,1))+($I101-INDEX('Konstanten'!$A$6:$A$10,MATCH($I101,'Konstanten'!$A$6:$A$10,1)))/(INDEX('Konstanten'!$A$6:$A$10,MATCH($I101,'Konstanten'!$A$6:$A$10,1)+1)-INDEX('Konstanten'!$A$6:$A$10,MATCH($I101,'Konstanten'!$A$6:$A$10,1)))*(INDEX('Konstanten'!$C$6:$C$10,MATCH($I101,'Konstanten'!$A$6:$A$10,1)+1)-INDEX('Konstanten'!$C$6:$C$10,MATCH($I101,'Konstanten'!$A$6:$A$10,1))),INDEX('Konstanten'!$C$6:$C$10,MATCH($I101,'Konstanten'!$A$6:$A$10,1))),""))</f>
        <v/>
      </c>
      <c r="Q101" s="63">
        <f>IF(OR($B101="",$N101="",$O101="",$P101=""),"",'Konstanten'!$C$13*$O101*$P101^(1-($J101/1000)/0.075)*'Konstanten'!$C$14^'Konstanten'!$C$16*'Konstanten'!$C$15^'Konstanten'!$C$17*$N101)</f>
        <v/>
      </c>
      <c r="R101" s="64">
        <f>IF(OR($B101="",$Q101=""),"",$E101+$Q101/'Grundeinstellungen'!$J$6)</f>
        <v/>
      </c>
      <c r="S101" s="64">
        <f>IF($B101="","",IFERROR(VLOOKUP($M101,'Konstanten'!$H$6:$I$13,2,FALSE),29))</f>
        <v/>
      </c>
      <c r="T101" s="65">
        <f>IF(OR($B101="",$Q101=""),"",$Q101*$H101)</f>
        <v/>
      </c>
      <c r="U101" s="66">
        <f>IF(OR($B101="",$T101=""),"",$T101-$F101)</f>
        <v/>
      </c>
      <c r="V101" s="67">
        <f>IF(OR($B101="",$T101=""),"",IFERROR($T101/$F101,""))</f>
        <v/>
      </c>
      <c r="W101" s="65">
        <f>IF(OR($B101="",$H101=""),"",'Grundeinstellungen'!$J$13*$H101)</f>
        <v/>
      </c>
      <c r="X101" s="65">
        <f>IF(OR($B101="",$T101=""),"",MIN($T101,$F101)+$W101)</f>
        <v/>
      </c>
      <c r="Y101" s="68">
        <f>IF($B101="","",IFERROR($H101/($J101/1000),""))</f>
        <v/>
      </c>
      <c r="Z101" s="68">
        <f>IF($B101="","",IFERROR(2*$L101*$K101,""))</f>
        <v/>
      </c>
      <c r="AA101" s="68">
        <f>IF(OR($B101="",$Y101="",$Z101=""),"",$Y101+$Z101)</f>
        <v/>
      </c>
      <c r="AB101" s="68">
        <f>IF(OR($B101="",$AA101=""),"",IFERROR($AA101/$K101,""))</f>
        <v/>
      </c>
      <c r="AC101" s="69">
        <f>IF(OR($B101="",$X101=""),"",IFERROR(($X101/$K101)/('Grundeinstellungen'!$C$16*('Grundeinstellungen'!$C$6-'Grundeinstellungen'!$C$7))*3600,""))</f>
        <v/>
      </c>
      <c r="AD101" s="70">
        <f>IF(OR($B101="",$AC101=""),"",$AC101/'Grundeinstellungen'!$C$15*1000)</f>
        <v/>
      </c>
      <c r="AE101" s="71">
        <f>IF(OR($B101="",$AC101=""),"",IFERROR($AC101/3600/'Grundeinstellungen'!$C$15/'Grundeinstellungen'!$J$22,""))</f>
        <v/>
      </c>
      <c r="AF101" s="72">
        <f>IF(OR($B101="",$AE101=""),"",IFERROR($AE101*'Grundeinstellungen'!$J$21/'Grundeinstellungen'!$C$17,""))</f>
        <v/>
      </c>
      <c r="AG101" s="73">
        <f>IF(OR($B101="",$AF101=""),"",IF($AF101&lt;2300,"laminar",IF($AF101&lt;4000,"Übergangsbereich","turbulent")))</f>
        <v/>
      </c>
      <c r="AH101" s="74">
        <f>IF(OR($B101="",$AF101=""),"",IF($AF101&lt;2300,64/$AF101,0.316/$AF101^0.25))</f>
        <v/>
      </c>
      <c r="AI101" s="75">
        <f>IF(OR($B101="",$AH101="",$AB101=""),"",IFERROR($AH101*($AB101/'Grundeinstellungen'!$J$21)*('Grundeinstellungen'!$C$15/2)*$AE101^2,""))</f>
        <v/>
      </c>
      <c r="AJ101" s="76">
        <f>IF(OR($B101="",$AI101="",$AB101=""),"",IFERROR($AI101/$AB101,""))</f>
        <v/>
      </c>
      <c r="AK101" s="75">
        <f>IF(OR($B101="",$AI101=""),"",$AI101*(1+'Grundeinstellungen'!$C$24)+'Grundeinstellungen'!$C$25)</f>
        <v/>
      </c>
    </row>
    <row r="102">
      <c r="A102" s="51" t="n"/>
      <c r="B102" s="51" t="n"/>
      <c r="C102" s="51" t="n"/>
      <c r="D102" s="52" t="n"/>
      <c r="E102" s="53" t="n"/>
      <c r="F102" s="54" t="n"/>
      <c r="G102" s="55">
        <f>IF($B102="","",IFERROR($F102/$D102,""))</f>
        <v/>
      </c>
      <c r="H102" s="52" t="n"/>
      <c r="I102" s="56" t="n"/>
      <c r="J102" s="57" t="n"/>
      <c r="K102" s="58" t="n"/>
      <c r="L102" s="59" t="n"/>
      <c r="M102" s="60" t="n"/>
      <c r="N102" s="61">
        <f>IF($B102="","",IFERROR(('Grundeinstellungen'!$C$6-'Grundeinstellungen'!$C$7)/LN(('Grundeinstellungen'!$C$6-$E102)/('Grundeinstellungen'!$C$7-$E102)),""))</f>
        <v/>
      </c>
      <c r="O102" s="62">
        <f>IF($B102="","",IFERROR(IFERROR(INDEX('Konstanten'!$B$6:$B$10,MATCH($I102,'Konstanten'!$A$6:$A$10,1))+($I102-INDEX('Konstanten'!$A$6:$A$10,MATCH($I102,'Konstanten'!$A$6:$A$10,1)))/(INDEX('Konstanten'!$A$6:$A$10,MATCH($I102,'Konstanten'!$A$6:$A$10,1)+1)-INDEX('Konstanten'!$A$6:$A$10,MATCH($I102,'Konstanten'!$A$6:$A$10,1)))*(INDEX('Konstanten'!$B$6:$B$10,MATCH($I102,'Konstanten'!$A$6:$A$10,1)+1)-INDEX('Konstanten'!$B$6:$B$10,MATCH($I102,'Konstanten'!$A$6:$A$10,1))),INDEX('Konstanten'!$B$6:$B$10,MATCH($I102,'Konstanten'!$A$6:$A$10,1))),""))</f>
        <v/>
      </c>
      <c r="P102" s="62">
        <f>IF($B102="","",IFERROR(IFERROR(INDEX('Konstanten'!$C$6:$C$10,MATCH($I102,'Konstanten'!$A$6:$A$10,1))+($I102-INDEX('Konstanten'!$A$6:$A$10,MATCH($I102,'Konstanten'!$A$6:$A$10,1)))/(INDEX('Konstanten'!$A$6:$A$10,MATCH($I102,'Konstanten'!$A$6:$A$10,1)+1)-INDEX('Konstanten'!$A$6:$A$10,MATCH($I102,'Konstanten'!$A$6:$A$10,1)))*(INDEX('Konstanten'!$C$6:$C$10,MATCH($I102,'Konstanten'!$A$6:$A$10,1)+1)-INDEX('Konstanten'!$C$6:$C$10,MATCH($I102,'Konstanten'!$A$6:$A$10,1))),INDEX('Konstanten'!$C$6:$C$10,MATCH($I102,'Konstanten'!$A$6:$A$10,1))),""))</f>
        <v/>
      </c>
      <c r="Q102" s="63">
        <f>IF(OR($B102="",$N102="",$O102="",$P102=""),"",'Konstanten'!$C$13*$O102*$P102^(1-($J102/1000)/0.075)*'Konstanten'!$C$14^'Konstanten'!$C$16*'Konstanten'!$C$15^'Konstanten'!$C$17*$N102)</f>
        <v/>
      </c>
      <c r="R102" s="64">
        <f>IF(OR($B102="",$Q102=""),"",$E102+$Q102/'Grundeinstellungen'!$J$6)</f>
        <v/>
      </c>
      <c r="S102" s="64">
        <f>IF($B102="","",IFERROR(VLOOKUP($M102,'Konstanten'!$H$6:$I$13,2,FALSE),29))</f>
        <v/>
      </c>
      <c r="T102" s="65">
        <f>IF(OR($B102="",$Q102=""),"",$Q102*$H102)</f>
        <v/>
      </c>
      <c r="U102" s="66">
        <f>IF(OR($B102="",$T102=""),"",$T102-$F102)</f>
        <v/>
      </c>
      <c r="V102" s="67">
        <f>IF(OR($B102="",$T102=""),"",IFERROR($T102/$F102,""))</f>
        <v/>
      </c>
      <c r="W102" s="65">
        <f>IF(OR($B102="",$H102=""),"",'Grundeinstellungen'!$J$13*$H102)</f>
        <v/>
      </c>
      <c r="X102" s="65">
        <f>IF(OR($B102="",$T102=""),"",MIN($T102,$F102)+$W102)</f>
        <v/>
      </c>
      <c r="Y102" s="68">
        <f>IF($B102="","",IFERROR($H102/($J102/1000),""))</f>
        <v/>
      </c>
      <c r="Z102" s="68">
        <f>IF($B102="","",IFERROR(2*$L102*$K102,""))</f>
        <v/>
      </c>
      <c r="AA102" s="68">
        <f>IF(OR($B102="",$Y102="",$Z102=""),"",$Y102+$Z102)</f>
        <v/>
      </c>
      <c r="AB102" s="68">
        <f>IF(OR($B102="",$AA102=""),"",IFERROR($AA102/$K102,""))</f>
        <v/>
      </c>
      <c r="AC102" s="69">
        <f>IF(OR($B102="",$X102=""),"",IFERROR(($X102/$K102)/('Grundeinstellungen'!$C$16*('Grundeinstellungen'!$C$6-'Grundeinstellungen'!$C$7))*3600,""))</f>
        <v/>
      </c>
      <c r="AD102" s="70">
        <f>IF(OR($B102="",$AC102=""),"",$AC102/'Grundeinstellungen'!$C$15*1000)</f>
        <v/>
      </c>
      <c r="AE102" s="71">
        <f>IF(OR($B102="",$AC102=""),"",IFERROR($AC102/3600/'Grundeinstellungen'!$C$15/'Grundeinstellungen'!$J$22,""))</f>
        <v/>
      </c>
      <c r="AF102" s="72">
        <f>IF(OR($B102="",$AE102=""),"",IFERROR($AE102*'Grundeinstellungen'!$J$21/'Grundeinstellungen'!$C$17,""))</f>
        <v/>
      </c>
      <c r="AG102" s="73">
        <f>IF(OR($B102="",$AF102=""),"",IF($AF102&lt;2300,"laminar",IF($AF102&lt;4000,"Übergangsbereich","turbulent")))</f>
        <v/>
      </c>
      <c r="AH102" s="74">
        <f>IF(OR($B102="",$AF102=""),"",IF($AF102&lt;2300,64/$AF102,0.316/$AF102^0.25))</f>
        <v/>
      </c>
      <c r="AI102" s="75">
        <f>IF(OR($B102="",$AH102="",$AB102=""),"",IFERROR($AH102*($AB102/'Grundeinstellungen'!$J$21)*('Grundeinstellungen'!$C$15/2)*$AE102^2,""))</f>
        <v/>
      </c>
      <c r="AJ102" s="76">
        <f>IF(OR($B102="",$AI102="",$AB102=""),"",IFERROR($AI102/$AB102,""))</f>
        <v/>
      </c>
      <c r="AK102" s="75">
        <f>IF(OR($B102="",$AI102=""),"",$AI102*(1+'Grundeinstellungen'!$C$24)+'Grundeinstellungen'!$C$25)</f>
        <v/>
      </c>
    </row>
    <row r="103">
      <c r="A103" s="51" t="n"/>
      <c r="B103" s="51" t="n"/>
      <c r="C103" s="51" t="n"/>
      <c r="D103" s="52" t="n"/>
      <c r="E103" s="53" t="n"/>
      <c r="F103" s="54" t="n"/>
      <c r="G103" s="55">
        <f>IF($B103="","",IFERROR($F103/$D103,""))</f>
        <v/>
      </c>
      <c r="H103" s="52" t="n"/>
      <c r="I103" s="56" t="n"/>
      <c r="J103" s="57" t="n"/>
      <c r="K103" s="58" t="n"/>
      <c r="L103" s="59" t="n"/>
      <c r="M103" s="60" t="n"/>
      <c r="N103" s="61">
        <f>IF($B103="","",IFERROR(('Grundeinstellungen'!$C$6-'Grundeinstellungen'!$C$7)/LN(('Grundeinstellungen'!$C$6-$E103)/('Grundeinstellungen'!$C$7-$E103)),""))</f>
        <v/>
      </c>
      <c r="O103" s="62">
        <f>IF($B103="","",IFERROR(IFERROR(INDEX('Konstanten'!$B$6:$B$10,MATCH($I103,'Konstanten'!$A$6:$A$10,1))+($I103-INDEX('Konstanten'!$A$6:$A$10,MATCH($I103,'Konstanten'!$A$6:$A$10,1)))/(INDEX('Konstanten'!$A$6:$A$10,MATCH($I103,'Konstanten'!$A$6:$A$10,1)+1)-INDEX('Konstanten'!$A$6:$A$10,MATCH($I103,'Konstanten'!$A$6:$A$10,1)))*(INDEX('Konstanten'!$B$6:$B$10,MATCH($I103,'Konstanten'!$A$6:$A$10,1)+1)-INDEX('Konstanten'!$B$6:$B$10,MATCH($I103,'Konstanten'!$A$6:$A$10,1))),INDEX('Konstanten'!$B$6:$B$10,MATCH($I103,'Konstanten'!$A$6:$A$10,1))),""))</f>
        <v/>
      </c>
      <c r="P103" s="62">
        <f>IF($B103="","",IFERROR(IFERROR(INDEX('Konstanten'!$C$6:$C$10,MATCH($I103,'Konstanten'!$A$6:$A$10,1))+($I103-INDEX('Konstanten'!$A$6:$A$10,MATCH($I103,'Konstanten'!$A$6:$A$10,1)))/(INDEX('Konstanten'!$A$6:$A$10,MATCH($I103,'Konstanten'!$A$6:$A$10,1)+1)-INDEX('Konstanten'!$A$6:$A$10,MATCH($I103,'Konstanten'!$A$6:$A$10,1)))*(INDEX('Konstanten'!$C$6:$C$10,MATCH($I103,'Konstanten'!$A$6:$A$10,1)+1)-INDEX('Konstanten'!$C$6:$C$10,MATCH($I103,'Konstanten'!$A$6:$A$10,1))),INDEX('Konstanten'!$C$6:$C$10,MATCH($I103,'Konstanten'!$A$6:$A$10,1))),""))</f>
        <v/>
      </c>
      <c r="Q103" s="63">
        <f>IF(OR($B103="",$N103="",$O103="",$P103=""),"",'Konstanten'!$C$13*$O103*$P103^(1-($J103/1000)/0.075)*'Konstanten'!$C$14^'Konstanten'!$C$16*'Konstanten'!$C$15^'Konstanten'!$C$17*$N103)</f>
        <v/>
      </c>
      <c r="R103" s="64">
        <f>IF(OR($B103="",$Q103=""),"",$E103+$Q103/'Grundeinstellungen'!$J$6)</f>
        <v/>
      </c>
      <c r="S103" s="64">
        <f>IF($B103="","",IFERROR(VLOOKUP($M103,'Konstanten'!$H$6:$I$13,2,FALSE),29))</f>
        <v/>
      </c>
      <c r="T103" s="65">
        <f>IF(OR($B103="",$Q103=""),"",$Q103*$H103)</f>
        <v/>
      </c>
      <c r="U103" s="66">
        <f>IF(OR($B103="",$T103=""),"",$T103-$F103)</f>
        <v/>
      </c>
      <c r="V103" s="67">
        <f>IF(OR($B103="",$T103=""),"",IFERROR($T103/$F103,""))</f>
        <v/>
      </c>
      <c r="W103" s="65">
        <f>IF(OR($B103="",$H103=""),"",'Grundeinstellungen'!$J$13*$H103)</f>
        <v/>
      </c>
      <c r="X103" s="65">
        <f>IF(OR($B103="",$T103=""),"",MIN($T103,$F103)+$W103)</f>
        <v/>
      </c>
      <c r="Y103" s="68">
        <f>IF($B103="","",IFERROR($H103/($J103/1000),""))</f>
        <v/>
      </c>
      <c r="Z103" s="68">
        <f>IF($B103="","",IFERROR(2*$L103*$K103,""))</f>
        <v/>
      </c>
      <c r="AA103" s="68">
        <f>IF(OR($B103="",$Y103="",$Z103=""),"",$Y103+$Z103)</f>
        <v/>
      </c>
      <c r="AB103" s="68">
        <f>IF(OR($B103="",$AA103=""),"",IFERROR($AA103/$K103,""))</f>
        <v/>
      </c>
      <c r="AC103" s="69">
        <f>IF(OR($B103="",$X103=""),"",IFERROR(($X103/$K103)/('Grundeinstellungen'!$C$16*('Grundeinstellungen'!$C$6-'Grundeinstellungen'!$C$7))*3600,""))</f>
        <v/>
      </c>
      <c r="AD103" s="70">
        <f>IF(OR($B103="",$AC103=""),"",$AC103/'Grundeinstellungen'!$C$15*1000)</f>
        <v/>
      </c>
      <c r="AE103" s="71">
        <f>IF(OR($B103="",$AC103=""),"",IFERROR($AC103/3600/'Grundeinstellungen'!$C$15/'Grundeinstellungen'!$J$22,""))</f>
        <v/>
      </c>
      <c r="AF103" s="72">
        <f>IF(OR($B103="",$AE103=""),"",IFERROR($AE103*'Grundeinstellungen'!$J$21/'Grundeinstellungen'!$C$17,""))</f>
        <v/>
      </c>
      <c r="AG103" s="73">
        <f>IF(OR($B103="",$AF103=""),"",IF($AF103&lt;2300,"laminar",IF($AF103&lt;4000,"Übergangsbereich","turbulent")))</f>
        <v/>
      </c>
      <c r="AH103" s="74">
        <f>IF(OR($B103="",$AF103=""),"",IF($AF103&lt;2300,64/$AF103,0.316/$AF103^0.25))</f>
        <v/>
      </c>
      <c r="AI103" s="75">
        <f>IF(OR($B103="",$AH103="",$AB103=""),"",IFERROR($AH103*($AB103/'Grundeinstellungen'!$J$21)*('Grundeinstellungen'!$C$15/2)*$AE103^2,""))</f>
        <v/>
      </c>
      <c r="AJ103" s="76">
        <f>IF(OR($B103="",$AI103="",$AB103=""),"",IFERROR($AI103/$AB103,""))</f>
        <v/>
      </c>
      <c r="AK103" s="75">
        <f>IF(OR($B103="",$AI103=""),"",$AI103*(1+'Grundeinstellungen'!$C$24)+'Grundeinstellungen'!$C$25)</f>
        <v/>
      </c>
    </row>
    <row r="104">
      <c r="A104" s="51" t="n"/>
      <c r="B104" s="51" t="n"/>
      <c r="C104" s="51" t="n"/>
      <c r="D104" s="52" t="n"/>
      <c r="E104" s="53" t="n"/>
      <c r="F104" s="54" t="n"/>
      <c r="G104" s="55">
        <f>IF($B104="","",IFERROR($F104/$D104,""))</f>
        <v/>
      </c>
      <c r="H104" s="52" t="n"/>
      <c r="I104" s="56" t="n"/>
      <c r="J104" s="57" t="n"/>
      <c r="K104" s="58" t="n"/>
      <c r="L104" s="59" t="n"/>
      <c r="M104" s="60" t="n"/>
      <c r="N104" s="61">
        <f>IF($B104="","",IFERROR(('Grundeinstellungen'!$C$6-'Grundeinstellungen'!$C$7)/LN(('Grundeinstellungen'!$C$6-$E104)/('Grundeinstellungen'!$C$7-$E104)),""))</f>
        <v/>
      </c>
      <c r="O104" s="62">
        <f>IF($B104="","",IFERROR(IFERROR(INDEX('Konstanten'!$B$6:$B$10,MATCH($I104,'Konstanten'!$A$6:$A$10,1))+($I104-INDEX('Konstanten'!$A$6:$A$10,MATCH($I104,'Konstanten'!$A$6:$A$10,1)))/(INDEX('Konstanten'!$A$6:$A$10,MATCH($I104,'Konstanten'!$A$6:$A$10,1)+1)-INDEX('Konstanten'!$A$6:$A$10,MATCH($I104,'Konstanten'!$A$6:$A$10,1)))*(INDEX('Konstanten'!$B$6:$B$10,MATCH($I104,'Konstanten'!$A$6:$A$10,1)+1)-INDEX('Konstanten'!$B$6:$B$10,MATCH($I104,'Konstanten'!$A$6:$A$10,1))),INDEX('Konstanten'!$B$6:$B$10,MATCH($I104,'Konstanten'!$A$6:$A$10,1))),""))</f>
        <v/>
      </c>
      <c r="P104" s="62">
        <f>IF($B104="","",IFERROR(IFERROR(INDEX('Konstanten'!$C$6:$C$10,MATCH($I104,'Konstanten'!$A$6:$A$10,1))+($I104-INDEX('Konstanten'!$A$6:$A$10,MATCH($I104,'Konstanten'!$A$6:$A$10,1)))/(INDEX('Konstanten'!$A$6:$A$10,MATCH($I104,'Konstanten'!$A$6:$A$10,1)+1)-INDEX('Konstanten'!$A$6:$A$10,MATCH($I104,'Konstanten'!$A$6:$A$10,1)))*(INDEX('Konstanten'!$C$6:$C$10,MATCH($I104,'Konstanten'!$A$6:$A$10,1)+1)-INDEX('Konstanten'!$C$6:$C$10,MATCH($I104,'Konstanten'!$A$6:$A$10,1))),INDEX('Konstanten'!$C$6:$C$10,MATCH($I104,'Konstanten'!$A$6:$A$10,1))),""))</f>
        <v/>
      </c>
      <c r="Q104" s="63">
        <f>IF(OR($B104="",$N104="",$O104="",$P104=""),"",'Konstanten'!$C$13*$O104*$P104^(1-($J104/1000)/0.075)*'Konstanten'!$C$14^'Konstanten'!$C$16*'Konstanten'!$C$15^'Konstanten'!$C$17*$N104)</f>
        <v/>
      </c>
      <c r="R104" s="64">
        <f>IF(OR($B104="",$Q104=""),"",$E104+$Q104/'Grundeinstellungen'!$J$6)</f>
        <v/>
      </c>
      <c r="S104" s="64">
        <f>IF($B104="","",IFERROR(VLOOKUP($M104,'Konstanten'!$H$6:$I$13,2,FALSE),29))</f>
        <v/>
      </c>
      <c r="T104" s="65">
        <f>IF(OR($B104="",$Q104=""),"",$Q104*$H104)</f>
        <v/>
      </c>
      <c r="U104" s="66">
        <f>IF(OR($B104="",$T104=""),"",$T104-$F104)</f>
        <v/>
      </c>
      <c r="V104" s="67">
        <f>IF(OR($B104="",$T104=""),"",IFERROR($T104/$F104,""))</f>
        <v/>
      </c>
      <c r="W104" s="65">
        <f>IF(OR($B104="",$H104=""),"",'Grundeinstellungen'!$J$13*$H104)</f>
        <v/>
      </c>
      <c r="X104" s="65">
        <f>IF(OR($B104="",$T104=""),"",MIN($T104,$F104)+$W104)</f>
        <v/>
      </c>
      <c r="Y104" s="68">
        <f>IF($B104="","",IFERROR($H104/($J104/1000),""))</f>
        <v/>
      </c>
      <c r="Z104" s="68">
        <f>IF($B104="","",IFERROR(2*$L104*$K104,""))</f>
        <v/>
      </c>
      <c r="AA104" s="68">
        <f>IF(OR($B104="",$Y104="",$Z104=""),"",$Y104+$Z104)</f>
        <v/>
      </c>
      <c r="AB104" s="68">
        <f>IF(OR($B104="",$AA104=""),"",IFERROR($AA104/$K104,""))</f>
        <v/>
      </c>
      <c r="AC104" s="69">
        <f>IF(OR($B104="",$X104=""),"",IFERROR(($X104/$K104)/('Grundeinstellungen'!$C$16*('Grundeinstellungen'!$C$6-'Grundeinstellungen'!$C$7))*3600,""))</f>
        <v/>
      </c>
      <c r="AD104" s="70">
        <f>IF(OR($B104="",$AC104=""),"",$AC104/'Grundeinstellungen'!$C$15*1000)</f>
        <v/>
      </c>
      <c r="AE104" s="71">
        <f>IF(OR($B104="",$AC104=""),"",IFERROR($AC104/3600/'Grundeinstellungen'!$C$15/'Grundeinstellungen'!$J$22,""))</f>
        <v/>
      </c>
      <c r="AF104" s="72">
        <f>IF(OR($B104="",$AE104=""),"",IFERROR($AE104*'Grundeinstellungen'!$J$21/'Grundeinstellungen'!$C$17,""))</f>
        <v/>
      </c>
      <c r="AG104" s="73">
        <f>IF(OR($B104="",$AF104=""),"",IF($AF104&lt;2300,"laminar",IF($AF104&lt;4000,"Übergangsbereich","turbulent")))</f>
        <v/>
      </c>
      <c r="AH104" s="74">
        <f>IF(OR($B104="",$AF104=""),"",IF($AF104&lt;2300,64/$AF104,0.316/$AF104^0.25))</f>
        <v/>
      </c>
      <c r="AI104" s="75">
        <f>IF(OR($B104="",$AH104="",$AB104=""),"",IFERROR($AH104*($AB104/'Grundeinstellungen'!$J$21)*('Grundeinstellungen'!$C$15/2)*$AE104^2,""))</f>
        <v/>
      </c>
      <c r="AJ104" s="76">
        <f>IF(OR($B104="",$AI104="",$AB104=""),"",IFERROR($AI104/$AB104,""))</f>
        <v/>
      </c>
      <c r="AK104" s="75">
        <f>IF(OR($B104="",$AI104=""),"",$AI104*(1+'Grundeinstellungen'!$C$24)+'Grundeinstellungen'!$C$25)</f>
        <v/>
      </c>
    </row>
    <row r="105">
      <c r="A105" s="51" t="n"/>
      <c r="B105" s="51" t="n"/>
      <c r="C105" s="51" t="n"/>
      <c r="D105" s="52" t="n"/>
      <c r="E105" s="53" t="n"/>
      <c r="F105" s="54" t="n"/>
      <c r="G105" s="55">
        <f>IF($B105="","",IFERROR($F105/$D105,""))</f>
        <v/>
      </c>
      <c r="H105" s="52" t="n"/>
      <c r="I105" s="56" t="n"/>
      <c r="J105" s="57" t="n"/>
      <c r="K105" s="58" t="n"/>
      <c r="L105" s="59" t="n"/>
      <c r="M105" s="60" t="n"/>
      <c r="N105" s="61">
        <f>IF($B105="","",IFERROR(('Grundeinstellungen'!$C$6-'Grundeinstellungen'!$C$7)/LN(('Grundeinstellungen'!$C$6-$E105)/('Grundeinstellungen'!$C$7-$E105)),""))</f>
        <v/>
      </c>
      <c r="O105" s="62">
        <f>IF($B105="","",IFERROR(IFERROR(INDEX('Konstanten'!$B$6:$B$10,MATCH($I105,'Konstanten'!$A$6:$A$10,1))+($I105-INDEX('Konstanten'!$A$6:$A$10,MATCH($I105,'Konstanten'!$A$6:$A$10,1)))/(INDEX('Konstanten'!$A$6:$A$10,MATCH($I105,'Konstanten'!$A$6:$A$10,1)+1)-INDEX('Konstanten'!$A$6:$A$10,MATCH($I105,'Konstanten'!$A$6:$A$10,1)))*(INDEX('Konstanten'!$B$6:$B$10,MATCH($I105,'Konstanten'!$A$6:$A$10,1)+1)-INDEX('Konstanten'!$B$6:$B$10,MATCH($I105,'Konstanten'!$A$6:$A$10,1))),INDEX('Konstanten'!$B$6:$B$10,MATCH($I105,'Konstanten'!$A$6:$A$10,1))),""))</f>
        <v/>
      </c>
      <c r="P105" s="62">
        <f>IF($B105="","",IFERROR(IFERROR(INDEX('Konstanten'!$C$6:$C$10,MATCH($I105,'Konstanten'!$A$6:$A$10,1))+($I105-INDEX('Konstanten'!$A$6:$A$10,MATCH($I105,'Konstanten'!$A$6:$A$10,1)))/(INDEX('Konstanten'!$A$6:$A$10,MATCH($I105,'Konstanten'!$A$6:$A$10,1)+1)-INDEX('Konstanten'!$A$6:$A$10,MATCH($I105,'Konstanten'!$A$6:$A$10,1)))*(INDEX('Konstanten'!$C$6:$C$10,MATCH($I105,'Konstanten'!$A$6:$A$10,1)+1)-INDEX('Konstanten'!$C$6:$C$10,MATCH($I105,'Konstanten'!$A$6:$A$10,1))),INDEX('Konstanten'!$C$6:$C$10,MATCH($I105,'Konstanten'!$A$6:$A$10,1))),""))</f>
        <v/>
      </c>
      <c r="Q105" s="63">
        <f>IF(OR($B105="",$N105="",$O105="",$P105=""),"",'Konstanten'!$C$13*$O105*$P105^(1-($J105/1000)/0.075)*'Konstanten'!$C$14^'Konstanten'!$C$16*'Konstanten'!$C$15^'Konstanten'!$C$17*$N105)</f>
        <v/>
      </c>
      <c r="R105" s="64">
        <f>IF(OR($B105="",$Q105=""),"",$E105+$Q105/'Grundeinstellungen'!$J$6)</f>
        <v/>
      </c>
      <c r="S105" s="64">
        <f>IF($B105="","",IFERROR(VLOOKUP($M105,'Konstanten'!$H$6:$I$13,2,FALSE),29))</f>
        <v/>
      </c>
      <c r="T105" s="65">
        <f>IF(OR($B105="",$Q105=""),"",$Q105*$H105)</f>
        <v/>
      </c>
      <c r="U105" s="66">
        <f>IF(OR($B105="",$T105=""),"",$T105-$F105)</f>
        <v/>
      </c>
      <c r="V105" s="67">
        <f>IF(OR($B105="",$T105=""),"",IFERROR($T105/$F105,""))</f>
        <v/>
      </c>
      <c r="W105" s="65">
        <f>IF(OR($B105="",$H105=""),"",'Grundeinstellungen'!$J$13*$H105)</f>
        <v/>
      </c>
      <c r="X105" s="65">
        <f>IF(OR($B105="",$T105=""),"",MIN($T105,$F105)+$W105)</f>
        <v/>
      </c>
      <c r="Y105" s="68">
        <f>IF($B105="","",IFERROR($H105/($J105/1000),""))</f>
        <v/>
      </c>
      <c r="Z105" s="68">
        <f>IF($B105="","",IFERROR(2*$L105*$K105,""))</f>
        <v/>
      </c>
      <c r="AA105" s="68">
        <f>IF(OR($B105="",$Y105="",$Z105=""),"",$Y105+$Z105)</f>
        <v/>
      </c>
      <c r="AB105" s="68">
        <f>IF(OR($B105="",$AA105=""),"",IFERROR($AA105/$K105,""))</f>
        <v/>
      </c>
      <c r="AC105" s="69">
        <f>IF(OR($B105="",$X105=""),"",IFERROR(($X105/$K105)/('Grundeinstellungen'!$C$16*('Grundeinstellungen'!$C$6-'Grundeinstellungen'!$C$7))*3600,""))</f>
        <v/>
      </c>
      <c r="AD105" s="70">
        <f>IF(OR($B105="",$AC105=""),"",$AC105/'Grundeinstellungen'!$C$15*1000)</f>
        <v/>
      </c>
      <c r="AE105" s="71">
        <f>IF(OR($B105="",$AC105=""),"",IFERROR($AC105/3600/'Grundeinstellungen'!$C$15/'Grundeinstellungen'!$J$22,""))</f>
        <v/>
      </c>
      <c r="AF105" s="72">
        <f>IF(OR($B105="",$AE105=""),"",IFERROR($AE105*'Grundeinstellungen'!$J$21/'Grundeinstellungen'!$C$17,""))</f>
        <v/>
      </c>
      <c r="AG105" s="73">
        <f>IF(OR($B105="",$AF105=""),"",IF($AF105&lt;2300,"laminar",IF($AF105&lt;4000,"Übergangsbereich","turbulent")))</f>
        <v/>
      </c>
      <c r="AH105" s="74">
        <f>IF(OR($B105="",$AF105=""),"",IF($AF105&lt;2300,64/$AF105,0.316/$AF105^0.25))</f>
        <v/>
      </c>
      <c r="AI105" s="75">
        <f>IF(OR($B105="",$AH105="",$AB105=""),"",IFERROR($AH105*($AB105/'Grundeinstellungen'!$J$21)*('Grundeinstellungen'!$C$15/2)*$AE105^2,""))</f>
        <v/>
      </c>
      <c r="AJ105" s="76">
        <f>IF(OR($B105="",$AI105="",$AB105=""),"",IFERROR($AI105/$AB105,""))</f>
        <v/>
      </c>
      <c r="AK105" s="75">
        <f>IF(OR($B105="",$AI105=""),"",$AI105*(1+'Grundeinstellungen'!$C$24)+'Grundeinstellungen'!$C$25)</f>
        <v/>
      </c>
    </row>
    <row r="106">
      <c r="A106" s="51" t="n"/>
      <c r="B106" s="51" t="n"/>
      <c r="C106" s="51" t="n"/>
      <c r="D106" s="52" t="n"/>
      <c r="E106" s="53" t="n"/>
      <c r="F106" s="54" t="n"/>
      <c r="G106" s="55">
        <f>IF($B106="","",IFERROR($F106/$D106,""))</f>
        <v/>
      </c>
      <c r="H106" s="52" t="n"/>
      <c r="I106" s="56" t="n"/>
      <c r="J106" s="57" t="n"/>
      <c r="K106" s="58" t="n"/>
      <c r="L106" s="59" t="n"/>
      <c r="M106" s="60" t="n"/>
      <c r="N106" s="61">
        <f>IF($B106="","",IFERROR(('Grundeinstellungen'!$C$6-'Grundeinstellungen'!$C$7)/LN(('Grundeinstellungen'!$C$6-$E106)/('Grundeinstellungen'!$C$7-$E106)),""))</f>
        <v/>
      </c>
      <c r="O106" s="62">
        <f>IF($B106="","",IFERROR(IFERROR(INDEX('Konstanten'!$B$6:$B$10,MATCH($I106,'Konstanten'!$A$6:$A$10,1))+($I106-INDEX('Konstanten'!$A$6:$A$10,MATCH($I106,'Konstanten'!$A$6:$A$10,1)))/(INDEX('Konstanten'!$A$6:$A$10,MATCH($I106,'Konstanten'!$A$6:$A$10,1)+1)-INDEX('Konstanten'!$A$6:$A$10,MATCH($I106,'Konstanten'!$A$6:$A$10,1)))*(INDEX('Konstanten'!$B$6:$B$10,MATCH($I106,'Konstanten'!$A$6:$A$10,1)+1)-INDEX('Konstanten'!$B$6:$B$10,MATCH($I106,'Konstanten'!$A$6:$A$10,1))),INDEX('Konstanten'!$B$6:$B$10,MATCH($I106,'Konstanten'!$A$6:$A$10,1))),""))</f>
        <v/>
      </c>
      <c r="P106" s="62">
        <f>IF($B106="","",IFERROR(IFERROR(INDEX('Konstanten'!$C$6:$C$10,MATCH($I106,'Konstanten'!$A$6:$A$10,1))+($I106-INDEX('Konstanten'!$A$6:$A$10,MATCH($I106,'Konstanten'!$A$6:$A$10,1)))/(INDEX('Konstanten'!$A$6:$A$10,MATCH($I106,'Konstanten'!$A$6:$A$10,1)+1)-INDEX('Konstanten'!$A$6:$A$10,MATCH($I106,'Konstanten'!$A$6:$A$10,1)))*(INDEX('Konstanten'!$C$6:$C$10,MATCH($I106,'Konstanten'!$A$6:$A$10,1)+1)-INDEX('Konstanten'!$C$6:$C$10,MATCH($I106,'Konstanten'!$A$6:$A$10,1))),INDEX('Konstanten'!$C$6:$C$10,MATCH($I106,'Konstanten'!$A$6:$A$10,1))),""))</f>
        <v/>
      </c>
      <c r="Q106" s="63">
        <f>IF(OR($B106="",$N106="",$O106="",$P106=""),"",'Konstanten'!$C$13*$O106*$P106^(1-($J106/1000)/0.075)*'Konstanten'!$C$14^'Konstanten'!$C$16*'Konstanten'!$C$15^'Konstanten'!$C$17*$N106)</f>
        <v/>
      </c>
      <c r="R106" s="64">
        <f>IF(OR($B106="",$Q106=""),"",$E106+$Q106/'Grundeinstellungen'!$J$6)</f>
        <v/>
      </c>
      <c r="S106" s="64">
        <f>IF($B106="","",IFERROR(VLOOKUP($M106,'Konstanten'!$H$6:$I$13,2,FALSE),29))</f>
        <v/>
      </c>
      <c r="T106" s="65">
        <f>IF(OR($B106="",$Q106=""),"",$Q106*$H106)</f>
        <v/>
      </c>
      <c r="U106" s="66">
        <f>IF(OR($B106="",$T106=""),"",$T106-$F106)</f>
        <v/>
      </c>
      <c r="V106" s="67">
        <f>IF(OR($B106="",$T106=""),"",IFERROR($T106/$F106,""))</f>
        <v/>
      </c>
      <c r="W106" s="65">
        <f>IF(OR($B106="",$H106=""),"",'Grundeinstellungen'!$J$13*$H106)</f>
        <v/>
      </c>
      <c r="X106" s="65">
        <f>IF(OR($B106="",$T106=""),"",MIN($T106,$F106)+$W106)</f>
        <v/>
      </c>
      <c r="Y106" s="68">
        <f>IF($B106="","",IFERROR($H106/($J106/1000),""))</f>
        <v/>
      </c>
      <c r="Z106" s="68">
        <f>IF($B106="","",IFERROR(2*$L106*$K106,""))</f>
        <v/>
      </c>
      <c r="AA106" s="68">
        <f>IF(OR($B106="",$Y106="",$Z106=""),"",$Y106+$Z106)</f>
        <v/>
      </c>
      <c r="AB106" s="68">
        <f>IF(OR($B106="",$AA106=""),"",IFERROR($AA106/$K106,""))</f>
        <v/>
      </c>
      <c r="AC106" s="69">
        <f>IF(OR($B106="",$X106=""),"",IFERROR(($X106/$K106)/('Grundeinstellungen'!$C$16*('Grundeinstellungen'!$C$6-'Grundeinstellungen'!$C$7))*3600,""))</f>
        <v/>
      </c>
      <c r="AD106" s="70">
        <f>IF(OR($B106="",$AC106=""),"",$AC106/'Grundeinstellungen'!$C$15*1000)</f>
        <v/>
      </c>
      <c r="AE106" s="71">
        <f>IF(OR($B106="",$AC106=""),"",IFERROR($AC106/3600/'Grundeinstellungen'!$C$15/'Grundeinstellungen'!$J$22,""))</f>
        <v/>
      </c>
      <c r="AF106" s="72">
        <f>IF(OR($B106="",$AE106=""),"",IFERROR($AE106*'Grundeinstellungen'!$J$21/'Grundeinstellungen'!$C$17,""))</f>
        <v/>
      </c>
      <c r="AG106" s="73">
        <f>IF(OR($B106="",$AF106=""),"",IF($AF106&lt;2300,"laminar",IF($AF106&lt;4000,"Übergangsbereich","turbulent")))</f>
        <v/>
      </c>
      <c r="AH106" s="74">
        <f>IF(OR($B106="",$AF106=""),"",IF($AF106&lt;2300,64/$AF106,0.316/$AF106^0.25))</f>
        <v/>
      </c>
      <c r="AI106" s="75">
        <f>IF(OR($B106="",$AH106="",$AB106=""),"",IFERROR($AH106*($AB106/'Grundeinstellungen'!$J$21)*('Grundeinstellungen'!$C$15/2)*$AE106^2,""))</f>
        <v/>
      </c>
      <c r="AJ106" s="76">
        <f>IF(OR($B106="",$AI106="",$AB106=""),"",IFERROR($AI106/$AB106,""))</f>
        <v/>
      </c>
      <c r="AK106" s="75">
        <f>IF(OR($B106="",$AI106=""),"",$AI106*(1+'Grundeinstellungen'!$C$24)+'Grundeinstellungen'!$C$25)</f>
        <v/>
      </c>
    </row>
    <row r="107">
      <c r="A107" s="51" t="n"/>
      <c r="B107" s="51" t="n"/>
      <c r="C107" s="51" t="n"/>
      <c r="D107" s="52" t="n"/>
      <c r="E107" s="53" t="n"/>
      <c r="F107" s="54" t="n"/>
      <c r="G107" s="55">
        <f>IF($B107="","",IFERROR($F107/$D107,""))</f>
        <v/>
      </c>
      <c r="H107" s="52" t="n"/>
      <c r="I107" s="56" t="n"/>
      <c r="J107" s="57" t="n"/>
      <c r="K107" s="58" t="n"/>
      <c r="L107" s="59" t="n"/>
      <c r="M107" s="60" t="n"/>
      <c r="N107" s="61">
        <f>IF($B107="","",IFERROR(('Grundeinstellungen'!$C$6-'Grundeinstellungen'!$C$7)/LN(('Grundeinstellungen'!$C$6-$E107)/('Grundeinstellungen'!$C$7-$E107)),""))</f>
        <v/>
      </c>
      <c r="O107" s="62">
        <f>IF($B107="","",IFERROR(IFERROR(INDEX('Konstanten'!$B$6:$B$10,MATCH($I107,'Konstanten'!$A$6:$A$10,1))+($I107-INDEX('Konstanten'!$A$6:$A$10,MATCH($I107,'Konstanten'!$A$6:$A$10,1)))/(INDEX('Konstanten'!$A$6:$A$10,MATCH($I107,'Konstanten'!$A$6:$A$10,1)+1)-INDEX('Konstanten'!$A$6:$A$10,MATCH($I107,'Konstanten'!$A$6:$A$10,1)))*(INDEX('Konstanten'!$B$6:$B$10,MATCH($I107,'Konstanten'!$A$6:$A$10,1)+1)-INDEX('Konstanten'!$B$6:$B$10,MATCH($I107,'Konstanten'!$A$6:$A$10,1))),INDEX('Konstanten'!$B$6:$B$10,MATCH($I107,'Konstanten'!$A$6:$A$10,1))),""))</f>
        <v/>
      </c>
      <c r="P107" s="62">
        <f>IF($B107="","",IFERROR(IFERROR(INDEX('Konstanten'!$C$6:$C$10,MATCH($I107,'Konstanten'!$A$6:$A$10,1))+($I107-INDEX('Konstanten'!$A$6:$A$10,MATCH($I107,'Konstanten'!$A$6:$A$10,1)))/(INDEX('Konstanten'!$A$6:$A$10,MATCH($I107,'Konstanten'!$A$6:$A$10,1)+1)-INDEX('Konstanten'!$A$6:$A$10,MATCH($I107,'Konstanten'!$A$6:$A$10,1)))*(INDEX('Konstanten'!$C$6:$C$10,MATCH($I107,'Konstanten'!$A$6:$A$10,1)+1)-INDEX('Konstanten'!$C$6:$C$10,MATCH($I107,'Konstanten'!$A$6:$A$10,1))),INDEX('Konstanten'!$C$6:$C$10,MATCH($I107,'Konstanten'!$A$6:$A$10,1))),""))</f>
        <v/>
      </c>
      <c r="Q107" s="63">
        <f>IF(OR($B107="",$N107="",$O107="",$P107=""),"",'Konstanten'!$C$13*$O107*$P107^(1-($J107/1000)/0.075)*'Konstanten'!$C$14^'Konstanten'!$C$16*'Konstanten'!$C$15^'Konstanten'!$C$17*$N107)</f>
        <v/>
      </c>
      <c r="R107" s="64">
        <f>IF(OR($B107="",$Q107=""),"",$E107+$Q107/'Grundeinstellungen'!$J$6)</f>
        <v/>
      </c>
      <c r="S107" s="64">
        <f>IF($B107="","",IFERROR(VLOOKUP($M107,'Konstanten'!$H$6:$I$13,2,FALSE),29))</f>
        <v/>
      </c>
      <c r="T107" s="65">
        <f>IF(OR($B107="",$Q107=""),"",$Q107*$H107)</f>
        <v/>
      </c>
      <c r="U107" s="66">
        <f>IF(OR($B107="",$T107=""),"",$T107-$F107)</f>
        <v/>
      </c>
      <c r="V107" s="67">
        <f>IF(OR($B107="",$T107=""),"",IFERROR($T107/$F107,""))</f>
        <v/>
      </c>
      <c r="W107" s="65">
        <f>IF(OR($B107="",$H107=""),"",'Grundeinstellungen'!$J$13*$H107)</f>
        <v/>
      </c>
      <c r="X107" s="65">
        <f>IF(OR($B107="",$T107=""),"",MIN($T107,$F107)+$W107)</f>
        <v/>
      </c>
      <c r="Y107" s="68">
        <f>IF($B107="","",IFERROR($H107/($J107/1000),""))</f>
        <v/>
      </c>
      <c r="Z107" s="68">
        <f>IF($B107="","",IFERROR(2*$L107*$K107,""))</f>
        <v/>
      </c>
      <c r="AA107" s="68">
        <f>IF(OR($B107="",$Y107="",$Z107=""),"",$Y107+$Z107)</f>
        <v/>
      </c>
      <c r="AB107" s="68">
        <f>IF(OR($B107="",$AA107=""),"",IFERROR($AA107/$K107,""))</f>
        <v/>
      </c>
      <c r="AC107" s="69">
        <f>IF(OR($B107="",$X107=""),"",IFERROR(($X107/$K107)/('Grundeinstellungen'!$C$16*('Grundeinstellungen'!$C$6-'Grundeinstellungen'!$C$7))*3600,""))</f>
        <v/>
      </c>
      <c r="AD107" s="70">
        <f>IF(OR($B107="",$AC107=""),"",$AC107/'Grundeinstellungen'!$C$15*1000)</f>
        <v/>
      </c>
      <c r="AE107" s="71">
        <f>IF(OR($B107="",$AC107=""),"",IFERROR($AC107/3600/'Grundeinstellungen'!$C$15/'Grundeinstellungen'!$J$22,""))</f>
        <v/>
      </c>
      <c r="AF107" s="72">
        <f>IF(OR($B107="",$AE107=""),"",IFERROR($AE107*'Grundeinstellungen'!$J$21/'Grundeinstellungen'!$C$17,""))</f>
        <v/>
      </c>
      <c r="AG107" s="73">
        <f>IF(OR($B107="",$AF107=""),"",IF($AF107&lt;2300,"laminar",IF($AF107&lt;4000,"Übergangsbereich","turbulent")))</f>
        <v/>
      </c>
      <c r="AH107" s="74">
        <f>IF(OR($B107="",$AF107=""),"",IF($AF107&lt;2300,64/$AF107,0.316/$AF107^0.25))</f>
        <v/>
      </c>
      <c r="AI107" s="75">
        <f>IF(OR($B107="",$AH107="",$AB107=""),"",IFERROR($AH107*($AB107/'Grundeinstellungen'!$J$21)*('Grundeinstellungen'!$C$15/2)*$AE107^2,""))</f>
        <v/>
      </c>
      <c r="AJ107" s="76">
        <f>IF(OR($B107="",$AI107="",$AB107=""),"",IFERROR($AI107/$AB107,""))</f>
        <v/>
      </c>
      <c r="AK107" s="75">
        <f>IF(OR($B107="",$AI107=""),"",$AI107*(1+'Grundeinstellungen'!$C$24)+'Grundeinstellungen'!$C$25)</f>
        <v/>
      </c>
    </row>
    <row r="108">
      <c r="A108" s="51" t="n"/>
      <c r="B108" s="51" t="n"/>
      <c r="C108" s="51" t="n"/>
      <c r="D108" s="52" t="n"/>
      <c r="E108" s="53" t="n"/>
      <c r="F108" s="54" t="n"/>
      <c r="G108" s="55">
        <f>IF($B108="","",IFERROR($F108/$D108,""))</f>
        <v/>
      </c>
      <c r="H108" s="52" t="n"/>
      <c r="I108" s="56" t="n"/>
      <c r="J108" s="57" t="n"/>
      <c r="K108" s="58" t="n"/>
      <c r="L108" s="59" t="n"/>
      <c r="M108" s="60" t="n"/>
      <c r="N108" s="61">
        <f>IF($B108="","",IFERROR(('Grundeinstellungen'!$C$6-'Grundeinstellungen'!$C$7)/LN(('Grundeinstellungen'!$C$6-$E108)/('Grundeinstellungen'!$C$7-$E108)),""))</f>
        <v/>
      </c>
      <c r="O108" s="62">
        <f>IF($B108="","",IFERROR(IFERROR(INDEX('Konstanten'!$B$6:$B$10,MATCH($I108,'Konstanten'!$A$6:$A$10,1))+($I108-INDEX('Konstanten'!$A$6:$A$10,MATCH($I108,'Konstanten'!$A$6:$A$10,1)))/(INDEX('Konstanten'!$A$6:$A$10,MATCH($I108,'Konstanten'!$A$6:$A$10,1)+1)-INDEX('Konstanten'!$A$6:$A$10,MATCH($I108,'Konstanten'!$A$6:$A$10,1)))*(INDEX('Konstanten'!$B$6:$B$10,MATCH($I108,'Konstanten'!$A$6:$A$10,1)+1)-INDEX('Konstanten'!$B$6:$B$10,MATCH($I108,'Konstanten'!$A$6:$A$10,1))),INDEX('Konstanten'!$B$6:$B$10,MATCH($I108,'Konstanten'!$A$6:$A$10,1))),""))</f>
        <v/>
      </c>
      <c r="P108" s="62">
        <f>IF($B108="","",IFERROR(IFERROR(INDEX('Konstanten'!$C$6:$C$10,MATCH($I108,'Konstanten'!$A$6:$A$10,1))+($I108-INDEX('Konstanten'!$A$6:$A$10,MATCH($I108,'Konstanten'!$A$6:$A$10,1)))/(INDEX('Konstanten'!$A$6:$A$10,MATCH($I108,'Konstanten'!$A$6:$A$10,1)+1)-INDEX('Konstanten'!$A$6:$A$10,MATCH($I108,'Konstanten'!$A$6:$A$10,1)))*(INDEX('Konstanten'!$C$6:$C$10,MATCH($I108,'Konstanten'!$A$6:$A$10,1)+1)-INDEX('Konstanten'!$C$6:$C$10,MATCH($I108,'Konstanten'!$A$6:$A$10,1))),INDEX('Konstanten'!$C$6:$C$10,MATCH($I108,'Konstanten'!$A$6:$A$10,1))),""))</f>
        <v/>
      </c>
      <c r="Q108" s="63">
        <f>IF(OR($B108="",$N108="",$O108="",$P108=""),"",'Konstanten'!$C$13*$O108*$P108^(1-($J108/1000)/0.075)*'Konstanten'!$C$14^'Konstanten'!$C$16*'Konstanten'!$C$15^'Konstanten'!$C$17*$N108)</f>
        <v/>
      </c>
      <c r="R108" s="64">
        <f>IF(OR($B108="",$Q108=""),"",$E108+$Q108/'Grundeinstellungen'!$J$6)</f>
        <v/>
      </c>
      <c r="S108" s="64">
        <f>IF($B108="","",IFERROR(VLOOKUP($M108,'Konstanten'!$H$6:$I$13,2,FALSE),29))</f>
        <v/>
      </c>
      <c r="T108" s="65">
        <f>IF(OR($B108="",$Q108=""),"",$Q108*$H108)</f>
        <v/>
      </c>
      <c r="U108" s="66">
        <f>IF(OR($B108="",$T108=""),"",$T108-$F108)</f>
        <v/>
      </c>
      <c r="V108" s="67">
        <f>IF(OR($B108="",$T108=""),"",IFERROR($T108/$F108,""))</f>
        <v/>
      </c>
      <c r="W108" s="65">
        <f>IF(OR($B108="",$H108=""),"",'Grundeinstellungen'!$J$13*$H108)</f>
        <v/>
      </c>
      <c r="X108" s="65">
        <f>IF(OR($B108="",$T108=""),"",MIN($T108,$F108)+$W108)</f>
        <v/>
      </c>
      <c r="Y108" s="68">
        <f>IF($B108="","",IFERROR($H108/($J108/1000),""))</f>
        <v/>
      </c>
      <c r="Z108" s="68">
        <f>IF($B108="","",IFERROR(2*$L108*$K108,""))</f>
        <v/>
      </c>
      <c r="AA108" s="68">
        <f>IF(OR($B108="",$Y108="",$Z108=""),"",$Y108+$Z108)</f>
        <v/>
      </c>
      <c r="AB108" s="68">
        <f>IF(OR($B108="",$AA108=""),"",IFERROR($AA108/$K108,""))</f>
        <v/>
      </c>
      <c r="AC108" s="69">
        <f>IF(OR($B108="",$X108=""),"",IFERROR(($X108/$K108)/('Grundeinstellungen'!$C$16*('Grundeinstellungen'!$C$6-'Grundeinstellungen'!$C$7))*3600,""))</f>
        <v/>
      </c>
      <c r="AD108" s="70">
        <f>IF(OR($B108="",$AC108=""),"",$AC108/'Grundeinstellungen'!$C$15*1000)</f>
        <v/>
      </c>
      <c r="AE108" s="71">
        <f>IF(OR($B108="",$AC108=""),"",IFERROR($AC108/3600/'Grundeinstellungen'!$C$15/'Grundeinstellungen'!$J$22,""))</f>
        <v/>
      </c>
      <c r="AF108" s="72">
        <f>IF(OR($B108="",$AE108=""),"",IFERROR($AE108*'Grundeinstellungen'!$J$21/'Grundeinstellungen'!$C$17,""))</f>
        <v/>
      </c>
      <c r="AG108" s="73">
        <f>IF(OR($B108="",$AF108=""),"",IF($AF108&lt;2300,"laminar",IF($AF108&lt;4000,"Übergangsbereich","turbulent")))</f>
        <v/>
      </c>
      <c r="AH108" s="74">
        <f>IF(OR($B108="",$AF108=""),"",IF($AF108&lt;2300,64/$AF108,0.316/$AF108^0.25))</f>
        <v/>
      </c>
      <c r="AI108" s="75">
        <f>IF(OR($B108="",$AH108="",$AB108=""),"",IFERROR($AH108*($AB108/'Grundeinstellungen'!$J$21)*('Grundeinstellungen'!$C$15/2)*$AE108^2,""))</f>
        <v/>
      </c>
      <c r="AJ108" s="76">
        <f>IF(OR($B108="",$AI108="",$AB108=""),"",IFERROR($AI108/$AB108,""))</f>
        <v/>
      </c>
      <c r="AK108" s="75">
        <f>IF(OR($B108="",$AI108=""),"",$AI108*(1+'Grundeinstellungen'!$C$24)+'Grundeinstellungen'!$C$25)</f>
        <v/>
      </c>
    </row>
    <row r="109">
      <c r="A109" s="51" t="n"/>
      <c r="B109" s="51" t="n"/>
      <c r="C109" s="51" t="n"/>
      <c r="D109" s="52" t="n"/>
      <c r="E109" s="53" t="n"/>
      <c r="F109" s="54" t="n"/>
      <c r="G109" s="55">
        <f>IF($B109="","",IFERROR($F109/$D109,""))</f>
        <v/>
      </c>
      <c r="H109" s="52" t="n"/>
      <c r="I109" s="56" t="n"/>
      <c r="J109" s="57" t="n"/>
      <c r="K109" s="58" t="n"/>
      <c r="L109" s="59" t="n"/>
      <c r="M109" s="60" t="n"/>
      <c r="N109" s="61">
        <f>IF($B109="","",IFERROR(('Grundeinstellungen'!$C$6-'Grundeinstellungen'!$C$7)/LN(('Grundeinstellungen'!$C$6-$E109)/('Grundeinstellungen'!$C$7-$E109)),""))</f>
        <v/>
      </c>
      <c r="O109" s="62">
        <f>IF($B109="","",IFERROR(IFERROR(INDEX('Konstanten'!$B$6:$B$10,MATCH($I109,'Konstanten'!$A$6:$A$10,1))+($I109-INDEX('Konstanten'!$A$6:$A$10,MATCH($I109,'Konstanten'!$A$6:$A$10,1)))/(INDEX('Konstanten'!$A$6:$A$10,MATCH($I109,'Konstanten'!$A$6:$A$10,1)+1)-INDEX('Konstanten'!$A$6:$A$10,MATCH($I109,'Konstanten'!$A$6:$A$10,1)))*(INDEX('Konstanten'!$B$6:$B$10,MATCH($I109,'Konstanten'!$A$6:$A$10,1)+1)-INDEX('Konstanten'!$B$6:$B$10,MATCH($I109,'Konstanten'!$A$6:$A$10,1))),INDEX('Konstanten'!$B$6:$B$10,MATCH($I109,'Konstanten'!$A$6:$A$10,1))),""))</f>
        <v/>
      </c>
      <c r="P109" s="62">
        <f>IF($B109="","",IFERROR(IFERROR(INDEX('Konstanten'!$C$6:$C$10,MATCH($I109,'Konstanten'!$A$6:$A$10,1))+($I109-INDEX('Konstanten'!$A$6:$A$10,MATCH($I109,'Konstanten'!$A$6:$A$10,1)))/(INDEX('Konstanten'!$A$6:$A$10,MATCH($I109,'Konstanten'!$A$6:$A$10,1)+1)-INDEX('Konstanten'!$A$6:$A$10,MATCH($I109,'Konstanten'!$A$6:$A$10,1)))*(INDEX('Konstanten'!$C$6:$C$10,MATCH($I109,'Konstanten'!$A$6:$A$10,1)+1)-INDEX('Konstanten'!$C$6:$C$10,MATCH($I109,'Konstanten'!$A$6:$A$10,1))),INDEX('Konstanten'!$C$6:$C$10,MATCH($I109,'Konstanten'!$A$6:$A$10,1))),""))</f>
        <v/>
      </c>
      <c r="Q109" s="63">
        <f>IF(OR($B109="",$N109="",$O109="",$P109=""),"",'Konstanten'!$C$13*$O109*$P109^(1-($J109/1000)/0.075)*'Konstanten'!$C$14^'Konstanten'!$C$16*'Konstanten'!$C$15^'Konstanten'!$C$17*$N109)</f>
        <v/>
      </c>
      <c r="R109" s="64">
        <f>IF(OR($B109="",$Q109=""),"",$E109+$Q109/'Grundeinstellungen'!$J$6)</f>
        <v/>
      </c>
      <c r="S109" s="64">
        <f>IF($B109="","",IFERROR(VLOOKUP($M109,'Konstanten'!$H$6:$I$13,2,FALSE),29))</f>
        <v/>
      </c>
      <c r="T109" s="65">
        <f>IF(OR($B109="",$Q109=""),"",$Q109*$H109)</f>
        <v/>
      </c>
      <c r="U109" s="66">
        <f>IF(OR($B109="",$T109=""),"",$T109-$F109)</f>
        <v/>
      </c>
      <c r="V109" s="67">
        <f>IF(OR($B109="",$T109=""),"",IFERROR($T109/$F109,""))</f>
        <v/>
      </c>
      <c r="W109" s="65">
        <f>IF(OR($B109="",$H109=""),"",'Grundeinstellungen'!$J$13*$H109)</f>
        <v/>
      </c>
      <c r="X109" s="65">
        <f>IF(OR($B109="",$T109=""),"",MIN($T109,$F109)+$W109)</f>
        <v/>
      </c>
      <c r="Y109" s="68">
        <f>IF($B109="","",IFERROR($H109/($J109/1000),""))</f>
        <v/>
      </c>
      <c r="Z109" s="68">
        <f>IF($B109="","",IFERROR(2*$L109*$K109,""))</f>
        <v/>
      </c>
      <c r="AA109" s="68">
        <f>IF(OR($B109="",$Y109="",$Z109=""),"",$Y109+$Z109)</f>
        <v/>
      </c>
      <c r="AB109" s="68">
        <f>IF(OR($B109="",$AA109=""),"",IFERROR($AA109/$K109,""))</f>
        <v/>
      </c>
      <c r="AC109" s="69">
        <f>IF(OR($B109="",$X109=""),"",IFERROR(($X109/$K109)/('Grundeinstellungen'!$C$16*('Grundeinstellungen'!$C$6-'Grundeinstellungen'!$C$7))*3600,""))</f>
        <v/>
      </c>
      <c r="AD109" s="70">
        <f>IF(OR($B109="",$AC109=""),"",$AC109/'Grundeinstellungen'!$C$15*1000)</f>
        <v/>
      </c>
      <c r="AE109" s="71">
        <f>IF(OR($B109="",$AC109=""),"",IFERROR($AC109/3600/'Grundeinstellungen'!$C$15/'Grundeinstellungen'!$J$22,""))</f>
        <v/>
      </c>
      <c r="AF109" s="72">
        <f>IF(OR($B109="",$AE109=""),"",IFERROR($AE109*'Grundeinstellungen'!$J$21/'Grundeinstellungen'!$C$17,""))</f>
        <v/>
      </c>
      <c r="AG109" s="73">
        <f>IF(OR($B109="",$AF109=""),"",IF($AF109&lt;2300,"laminar",IF($AF109&lt;4000,"Übergangsbereich","turbulent")))</f>
        <v/>
      </c>
      <c r="AH109" s="74">
        <f>IF(OR($B109="",$AF109=""),"",IF($AF109&lt;2300,64/$AF109,0.316/$AF109^0.25))</f>
        <v/>
      </c>
      <c r="AI109" s="75">
        <f>IF(OR($B109="",$AH109="",$AB109=""),"",IFERROR($AH109*($AB109/'Grundeinstellungen'!$J$21)*('Grundeinstellungen'!$C$15/2)*$AE109^2,""))</f>
        <v/>
      </c>
      <c r="AJ109" s="76">
        <f>IF(OR($B109="",$AI109="",$AB109=""),"",IFERROR($AI109/$AB109,""))</f>
        <v/>
      </c>
      <c r="AK109" s="75">
        <f>IF(OR($B109="",$AI109=""),"",$AI109*(1+'Grundeinstellungen'!$C$24)+'Grundeinstellungen'!$C$25)</f>
        <v/>
      </c>
    </row>
    <row r="110">
      <c r="A110" s="51" t="n"/>
      <c r="B110" s="51" t="n"/>
      <c r="C110" s="51" t="n"/>
      <c r="D110" s="52" t="n"/>
      <c r="E110" s="53" t="n"/>
      <c r="F110" s="54" t="n"/>
      <c r="G110" s="55">
        <f>IF($B110="","",IFERROR($F110/$D110,""))</f>
        <v/>
      </c>
      <c r="H110" s="52" t="n"/>
      <c r="I110" s="56" t="n"/>
      <c r="J110" s="57" t="n"/>
      <c r="K110" s="58" t="n"/>
      <c r="L110" s="59" t="n"/>
      <c r="M110" s="60" t="n"/>
      <c r="N110" s="61">
        <f>IF($B110="","",IFERROR(('Grundeinstellungen'!$C$6-'Grundeinstellungen'!$C$7)/LN(('Grundeinstellungen'!$C$6-$E110)/('Grundeinstellungen'!$C$7-$E110)),""))</f>
        <v/>
      </c>
      <c r="O110" s="62">
        <f>IF($B110="","",IFERROR(IFERROR(INDEX('Konstanten'!$B$6:$B$10,MATCH($I110,'Konstanten'!$A$6:$A$10,1))+($I110-INDEX('Konstanten'!$A$6:$A$10,MATCH($I110,'Konstanten'!$A$6:$A$10,1)))/(INDEX('Konstanten'!$A$6:$A$10,MATCH($I110,'Konstanten'!$A$6:$A$10,1)+1)-INDEX('Konstanten'!$A$6:$A$10,MATCH($I110,'Konstanten'!$A$6:$A$10,1)))*(INDEX('Konstanten'!$B$6:$B$10,MATCH($I110,'Konstanten'!$A$6:$A$10,1)+1)-INDEX('Konstanten'!$B$6:$B$10,MATCH($I110,'Konstanten'!$A$6:$A$10,1))),INDEX('Konstanten'!$B$6:$B$10,MATCH($I110,'Konstanten'!$A$6:$A$10,1))),""))</f>
        <v/>
      </c>
      <c r="P110" s="62">
        <f>IF($B110="","",IFERROR(IFERROR(INDEX('Konstanten'!$C$6:$C$10,MATCH($I110,'Konstanten'!$A$6:$A$10,1))+($I110-INDEX('Konstanten'!$A$6:$A$10,MATCH($I110,'Konstanten'!$A$6:$A$10,1)))/(INDEX('Konstanten'!$A$6:$A$10,MATCH($I110,'Konstanten'!$A$6:$A$10,1)+1)-INDEX('Konstanten'!$A$6:$A$10,MATCH($I110,'Konstanten'!$A$6:$A$10,1)))*(INDEX('Konstanten'!$C$6:$C$10,MATCH($I110,'Konstanten'!$A$6:$A$10,1)+1)-INDEX('Konstanten'!$C$6:$C$10,MATCH($I110,'Konstanten'!$A$6:$A$10,1))),INDEX('Konstanten'!$C$6:$C$10,MATCH($I110,'Konstanten'!$A$6:$A$10,1))),""))</f>
        <v/>
      </c>
      <c r="Q110" s="63">
        <f>IF(OR($B110="",$N110="",$O110="",$P110=""),"",'Konstanten'!$C$13*$O110*$P110^(1-($J110/1000)/0.075)*'Konstanten'!$C$14^'Konstanten'!$C$16*'Konstanten'!$C$15^'Konstanten'!$C$17*$N110)</f>
        <v/>
      </c>
      <c r="R110" s="64">
        <f>IF(OR($B110="",$Q110=""),"",$E110+$Q110/'Grundeinstellungen'!$J$6)</f>
        <v/>
      </c>
      <c r="S110" s="64">
        <f>IF($B110="","",IFERROR(VLOOKUP($M110,'Konstanten'!$H$6:$I$13,2,FALSE),29))</f>
        <v/>
      </c>
      <c r="T110" s="65">
        <f>IF(OR($B110="",$Q110=""),"",$Q110*$H110)</f>
        <v/>
      </c>
      <c r="U110" s="66">
        <f>IF(OR($B110="",$T110=""),"",$T110-$F110)</f>
        <v/>
      </c>
      <c r="V110" s="67">
        <f>IF(OR($B110="",$T110=""),"",IFERROR($T110/$F110,""))</f>
        <v/>
      </c>
      <c r="W110" s="65">
        <f>IF(OR($B110="",$H110=""),"",'Grundeinstellungen'!$J$13*$H110)</f>
        <v/>
      </c>
      <c r="X110" s="65">
        <f>IF(OR($B110="",$T110=""),"",MIN($T110,$F110)+$W110)</f>
        <v/>
      </c>
      <c r="Y110" s="68">
        <f>IF($B110="","",IFERROR($H110/($J110/1000),""))</f>
        <v/>
      </c>
      <c r="Z110" s="68">
        <f>IF($B110="","",IFERROR(2*$L110*$K110,""))</f>
        <v/>
      </c>
      <c r="AA110" s="68">
        <f>IF(OR($B110="",$Y110="",$Z110=""),"",$Y110+$Z110)</f>
        <v/>
      </c>
      <c r="AB110" s="68">
        <f>IF(OR($B110="",$AA110=""),"",IFERROR($AA110/$K110,""))</f>
        <v/>
      </c>
      <c r="AC110" s="69">
        <f>IF(OR($B110="",$X110=""),"",IFERROR(($X110/$K110)/('Grundeinstellungen'!$C$16*('Grundeinstellungen'!$C$6-'Grundeinstellungen'!$C$7))*3600,""))</f>
        <v/>
      </c>
      <c r="AD110" s="70">
        <f>IF(OR($B110="",$AC110=""),"",$AC110/'Grundeinstellungen'!$C$15*1000)</f>
        <v/>
      </c>
      <c r="AE110" s="71">
        <f>IF(OR($B110="",$AC110=""),"",IFERROR($AC110/3600/'Grundeinstellungen'!$C$15/'Grundeinstellungen'!$J$22,""))</f>
        <v/>
      </c>
      <c r="AF110" s="72">
        <f>IF(OR($B110="",$AE110=""),"",IFERROR($AE110*'Grundeinstellungen'!$J$21/'Grundeinstellungen'!$C$17,""))</f>
        <v/>
      </c>
      <c r="AG110" s="73">
        <f>IF(OR($B110="",$AF110=""),"",IF($AF110&lt;2300,"laminar",IF($AF110&lt;4000,"Übergangsbereich","turbulent")))</f>
        <v/>
      </c>
      <c r="AH110" s="74">
        <f>IF(OR($B110="",$AF110=""),"",IF($AF110&lt;2300,64/$AF110,0.316/$AF110^0.25))</f>
        <v/>
      </c>
      <c r="AI110" s="75">
        <f>IF(OR($B110="",$AH110="",$AB110=""),"",IFERROR($AH110*($AB110/'Grundeinstellungen'!$J$21)*('Grundeinstellungen'!$C$15/2)*$AE110^2,""))</f>
        <v/>
      </c>
      <c r="AJ110" s="76">
        <f>IF(OR($B110="",$AI110="",$AB110=""),"",IFERROR($AI110/$AB110,""))</f>
        <v/>
      </c>
      <c r="AK110" s="75">
        <f>IF(OR($B110="",$AI110=""),"",$AI110*(1+'Grundeinstellungen'!$C$24)+'Grundeinstellungen'!$C$25)</f>
        <v/>
      </c>
    </row>
    <row r="111">
      <c r="A111" s="51" t="n"/>
      <c r="B111" s="51" t="n"/>
      <c r="C111" s="51" t="n"/>
      <c r="D111" s="52" t="n"/>
      <c r="E111" s="53" t="n"/>
      <c r="F111" s="54" t="n"/>
      <c r="G111" s="55">
        <f>IF($B111="","",IFERROR($F111/$D111,""))</f>
        <v/>
      </c>
      <c r="H111" s="52" t="n"/>
      <c r="I111" s="56" t="n"/>
      <c r="J111" s="57" t="n"/>
      <c r="K111" s="58" t="n"/>
      <c r="L111" s="59" t="n"/>
      <c r="M111" s="60" t="n"/>
      <c r="N111" s="61">
        <f>IF($B111="","",IFERROR(('Grundeinstellungen'!$C$6-'Grundeinstellungen'!$C$7)/LN(('Grundeinstellungen'!$C$6-$E111)/('Grundeinstellungen'!$C$7-$E111)),""))</f>
        <v/>
      </c>
      <c r="O111" s="62">
        <f>IF($B111="","",IFERROR(IFERROR(INDEX('Konstanten'!$B$6:$B$10,MATCH($I111,'Konstanten'!$A$6:$A$10,1))+($I111-INDEX('Konstanten'!$A$6:$A$10,MATCH($I111,'Konstanten'!$A$6:$A$10,1)))/(INDEX('Konstanten'!$A$6:$A$10,MATCH($I111,'Konstanten'!$A$6:$A$10,1)+1)-INDEX('Konstanten'!$A$6:$A$10,MATCH($I111,'Konstanten'!$A$6:$A$10,1)))*(INDEX('Konstanten'!$B$6:$B$10,MATCH($I111,'Konstanten'!$A$6:$A$10,1)+1)-INDEX('Konstanten'!$B$6:$B$10,MATCH($I111,'Konstanten'!$A$6:$A$10,1))),INDEX('Konstanten'!$B$6:$B$10,MATCH($I111,'Konstanten'!$A$6:$A$10,1))),""))</f>
        <v/>
      </c>
      <c r="P111" s="62">
        <f>IF($B111="","",IFERROR(IFERROR(INDEX('Konstanten'!$C$6:$C$10,MATCH($I111,'Konstanten'!$A$6:$A$10,1))+($I111-INDEX('Konstanten'!$A$6:$A$10,MATCH($I111,'Konstanten'!$A$6:$A$10,1)))/(INDEX('Konstanten'!$A$6:$A$10,MATCH($I111,'Konstanten'!$A$6:$A$10,1)+1)-INDEX('Konstanten'!$A$6:$A$10,MATCH($I111,'Konstanten'!$A$6:$A$10,1)))*(INDEX('Konstanten'!$C$6:$C$10,MATCH($I111,'Konstanten'!$A$6:$A$10,1)+1)-INDEX('Konstanten'!$C$6:$C$10,MATCH($I111,'Konstanten'!$A$6:$A$10,1))),INDEX('Konstanten'!$C$6:$C$10,MATCH($I111,'Konstanten'!$A$6:$A$10,1))),""))</f>
        <v/>
      </c>
      <c r="Q111" s="63">
        <f>IF(OR($B111="",$N111="",$O111="",$P111=""),"",'Konstanten'!$C$13*$O111*$P111^(1-($J111/1000)/0.075)*'Konstanten'!$C$14^'Konstanten'!$C$16*'Konstanten'!$C$15^'Konstanten'!$C$17*$N111)</f>
        <v/>
      </c>
      <c r="R111" s="64">
        <f>IF(OR($B111="",$Q111=""),"",$E111+$Q111/'Grundeinstellungen'!$J$6)</f>
        <v/>
      </c>
      <c r="S111" s="64">
        <f>IF($B111="","",IFERROR(VLOOKUP($M111,'Konstanten'!$H$6:$I$13,2,FALSE),29))</f>
        <v/>
      </c>
      <c r="T111" s="65">
        <f>IF(OR($B111="",$Q111=""),"",$Q111*$H111)</f>
        <v/>
      </c>
      <c r="U111" s="66">
        <f>IF(OR($B111="",$T111=""),"",$T111-$F111)</f>
        <v/>
      </c>
      <c r="V111" s="67">
        <f>IF(OR($B111="",$T111=""),"",IFERROR($T111/$F111,""))</f>
        <v/>
      </c>
      <c r="W111" s="65">
        <f>IF(OR($B111="",$H111=""),"",'Grundeinstellungen'!$J$13*$H111)</f>
        <v/>
      </c>
      <c r="X111" s="65">
        <f>IF(OR($B111="",$T111=""),"",MIN($T111,$F111)+$W111)</f>
        <v/>
      </c>
      <c r="Y111" s="68">
        <f>IF($B111="","",IFERROR($H111/($J111/1000),""))</f>
        <v/>
      </c>
      <c r="Z111" s="68">
        <f>IF($B111="","",IFERROR(2*$L111*$K111,""))</f>
        <v/>
      </c>
      <c r="AA111" s="68">
        <f>IF(OR($B111="",$Y111="",$Z111=""),"",$Y111+$Z111)</f>
        <v/>
      </c>
      <c r="AB111" s="68">
        <f>IF(OR($B111="",$AA111=""),"",IFERROR($AA111/$K111,""))</f>
        <v/>
      </c>
      <c r="AC111" s="69">
        <f>IF(OR($B111="",$X111=""),"",IFERROR(($X111/$K111)/('Grundeinstellungen'!$C$16*('Grundeinstellungen'!$C$6-'Grundeinstellungen'!$C$7))*3600,""))</f>
        <v/>
      </c>
      <c r="AD111" s="70">
        <f>IF(OR($B111="",$AC111=""),"",$AC111/'Grundeinstellungen'!$C$15*1000)</f>
        <v/>
      </c>
      <c r="AE111" s="71">
        <f>IF(OR($B111="",$AC111=""),"",IFERROR($AC111/3600/'Grundeinstellungen'!$C$15/'Grundeinstellungen'!$J$22,""))</f>
        <v/>
      </c>
      <c r="AF111" s="72">
        <f>IF(OR($B111="",$AE111=""),"",IFERROR($AE111*'Grundeinstellungen'!$J$21/'Grundeinstellungen'!$C$17,""))</f>
        <v/>
      </c>
      <c r="AG111" s="73">
        <f>IF(OR($B111="",$AF111=""),"",IF($AF111&lt;2300,"laminar",IF($AF111&lt;4000,"Übergangsbereich","turbulent")))</f>
        <v/>
      </c>
      <c r="AH111" s="74">
        <f>IF(OR($B111="",$AF111=""),"",IF($AF111&lt;2300,64/$AF111,0.316/$AF111^0.25))</f>
        <v/>
      </c>
      <c r="AI111" s="75">
        <f>IF(OR($B111="",$AH111="",$AB111=""),"",IFERROR($AH111*($AB111/'Grundeinstellungen'!$J$21)*('Grundeinstellungen'!$C$15/2)*$AE111^2,""))</f>
        <v/>
      </c>
      <c r="AJ111" s="76">
        <f>IF(OR($B111="",$AI111="",$AB111=""),"",IFERROR($AI111/$AB111,""))</f>
        <v/>
      </c>
      <c r="AK111" s="75">
        <f>IF(OR($B111="",$AI111=""),"",$AI111*(1+'Grundeinstellungen'!$C$24)+'Grundeinstellungen'!$C$25)</f>
        <v/>
      </c>
    </row>
    <row r="112">
      <c r="A112" s="51" t="n"/>
      <c r="B112" s="51" t="n"/>
      <c r="C112" s="51" t="n"/>
      <c r="D112" s="52" t="n"/>
      <c r="E112" s="53" t="n"/>
      <c r="F112" s="54" t="n"/>
      <c r="G112" s="55">
        <f>IF($B112="","",IFERROR($F112/$D112,""))</f>
        <v/>
      </c>
      <c r="H112" s="52" t="n"/>
      <c r="I112" s="56" t="n"/>
      <c r="J112" s="57" t="n"/>
      <c r="K112" s="58" t="n"/>
      <c r="L112" s="59" t="n"/>
      <c r="M112" s="60" t="n"/>
      <c r="N112" s="61">
        <f>IF($B112="","",IFERROR(('Grundeinstellungen'!$C$6-'Grundeinstellungen'!$C$7)/LN(('Grundeinstellungen'!$C$6-$E112)/('Grundeinstellungen'!$C$7-$E112)),""))</f>
        <v/>
      </c>
      <c r="O112" s="62">
        <f>IF($B112="","",IFERROR(IFERROR(INDEX('Konstanten'!$B$6:$B$10,MATCH($I112,'Konstanten'!$A$6:$A$10,1))+($I112-INDEX('Konstanten'!$A$6:$A$10,MATCH($I112,'Konstanten'!$A$6:$A$10,1)))/(INDEX('Konstanten'!$A$6:$A$10,MATCH($I112,'Konstanten'!$A$6:$A$10,1)+1)-INDEX('Konstanten'!$A$6:$A$10,MATCH($I112,'Konstanten'!$A$6:$A$10,1)))*(INDEX('Konstanten'!$B$6:$B$10,MATCH($I112,'Konstanten'!$A$6:$A$10,1)+1)-INDEX('Konstanten'!$B$6:$B$10,MATCH($I112,'Konstanten'!$A$6:$A$10,1))),INDEX('Konstanten'!$B$6:$B$10,MATCH($I112,'Konstanten'!$A$6:$A$10,1))),""))</f>
        <v/>
      </c>
      <c r="P112" s="62">
        <f>IF($B112="","",IFERROR(IFERROR(INDEX('Konstanten'!$C$6:$C$10,MATCH($I112,'Konstanten'!$A$6:$A$10,1))+($I112-INDEX('Konstanten'!$A$6:$A$10,MATCH($I112,'Konstanten'!$A$6:$A$10,1)))/(INDEX('Konstanten'!$A$6:$A$10,MATCH($I112,'Konstanten'!$A$6:$A$10,1)+1)-INDEX('Konstanten'!$A$6:$A$10,MATCH($I112,'Konstanten'!$A$6:$A$10,1)))*(INDEX('Konstanten'!$C$6:$C$10,MATCH($I112,'Konstanten'!$A$6:$A$10,1)+1)-INDEX('Konstanten'!$C$6:$C$10,MATCH($I112,'Konstanten'!$A$6:$A$10,1))),INDEX('Konstanten'!$C$6:$C$10,MATCH($I112,'Konstanten'!$A$6:$A$10,1))),""))</f>
        <v/>
      </c>
      <c r="Q112" s="63">
        <f>IF(OR($B112="",$N112="",$O112="",$P112=""),"",'Konstanten'!$C$13*$O112*$P112^(1-($J112/1000)/0.075)*'Konstanten'!$C$14^'Konstanten'!$C$16*'Konstanten'!$C$15^'Konstanten'!$C$17*$N112)</f>
        <v/>
      </c>
      <c r="R112" s="64">
        <f>IF(OR($B112="",$Q112=""),"",$E112+$Q112/'Grundeinstellungen'!$J$6)</f>
        <v/>
      </c>
      <c r="S112" s="64">
        <f>IF($B112="","",IFERROR(VLOOKUP($M112,'Konstanten'!$H$6:$I$13,2,FALSE),29))</f>
        <v/>
      </c>
      <c r="T112" s="65">
        <f>IF(OR($B112="",$Q112=""),"",$Q112*$H112)</f>
        <v/>
      </c>
      <c r="U112" s="66">
        <f>IF(OR($B112="",$T112=""),"",$T112-$F112)</f>
        <v/>
      </c>
      <c r="V112" s="67">
        <f>IF(OR($B112="",$T112=""),"",IFERROR($T112/$F112,""))</f>
        <v/>
      </c>
      <c r="W112" s="65">
        <f>IF(OR($B112="",$H112=""),"",'Grundeinstellungen'!$J$13*$H112)</f>
        <v/>
      </c>
      <c r="X112" s="65">
        <f>IF(OR($B112="",$T112=""),"",MIN($T112,$F112)+$W112)</f>
        <v/>
      </c>
      <c r="Y112" s="68">
        <f>IF($B112="","",IFERROR($H112/($J112/1000),""))</f>
        <v/>
      </c>
      <c r="Z112" s="68">
        <f>IF($B112="","",IFERROR(2*$L112*$K112,""))</f>
        <v/>
      </c>
      <c r="AA112" s="68">
        <f>IF(OR($B112="",$Y112="",$Z112=""),"",$Y112+$Z112)</f>
        <v/>
      </c>
      <c r="AB112" s="68">
        <f>IF(OR($B112="",$AA112=""),"",IFERROR($AA112/$K112,""))</f>
        <v/>
      </c>
      <c r="AC112" s="69">
        <f>IF(OR($B112="",$X112=""),"",IFERROR(($X112/$K112)/('Grundeinstellungen'!$C$16*('Grundeinstellungen'!$C$6-'Grundeinstellungen'!$C$7))*3600,""))</f>
        <v/>
      </c>
      <c r="AD112" s="70">
        <f>IF(OR($B112="",$AC112=""),"",$AC112/'Grundeinstellungen'!$C$15*1000)</f>
        <v/>
      </c>
      <c r="AE112" s="71">
        <f>IF(OR($B112="",$AC112=""),"",IFERROR($AC112/3600/'Grundeinstellungen'!$C$15/'Grundeinstellungen'!$J$22,""))</f>
        <v/>
      </c>
      <c r="AF112" s="72">
        <f>IF(OR($B112="",$AE112=""),"",IFERROR($AE112*'Grundeinstellungen'!$J$21/'Grundeinstellungen'!$C$17,""))</f>
        <v/>
      </c>
      <c r="AG112" s="73">
        <f>IF(OR($B112="",$AF112=""),"",IF($AF112&lt;2300,"laminar",IF($AF112&lt;4000,"Übergangsbereich","turbulent")))</f>
        <v/>
      </c>
      <c r="AH112" s="74">
        <f>IF(OR($B112="",$AF112=""),"",IF($AF112&lt;2300,64/$AF112,0.316/$AF112^0.25))</f>
        <v/>
      </c>
      <c r="AI112" s="75">
        <f>IF(OR($B112="",$AH112="",$AB112=""),"",IFERROR($AH112*($AB112/'Grundeinstellungen'!$J$21)*('Grundeinstellungen'!$C$15/2)*$AE112^2,""))</f>
        <v/>
      </c>
      <c r="AJ112" s="76">
        <f>IF(OR($B112="",$AI112="",$AB112=""),"",IFERROR($AI112/$AB112,""))</f>
        <v/>
      </c>
      <c r="AK112" s="75">
        <f>IF(OR($B112="",$AI112=""),"",$AI112*(1+'Grundeinstellungen'!$C$24)+'Grundeinstellungen'!$C$25)</f>
        <v/>
      </c>
    </row>
    <row r="113">
      <c r="A113" s="51" t="n"/>
      <c r="B113" s="51" t="n"/>
      <c r="C113" s="51" t="n"/>
      <c r="D113" s="52" t="n"/>
      <c r="E113" s="53" t="n"/>
      <c r="F113" s="54" t="n"/>
      <c r="G113" s="55">
        <f>IF($B113="","",IFERROR($F113/$D113,""))</f>
        <v/>
      </c>
      <c r="H113" s="52" t="n"/>
      <c r="I113" s="56" t="n"/>
      <c r="J113" s="57" t="n"/>
      <c r="K113" s="58" t="n"/>
      <c r="L113" s="59" t="n"/>
      <c r="M113" s="60" t="n"/>
      <c r="N113" s="61">
        <f>IF($B113="","",IFERROR(('Grundeinstellungen'!$C$6-'Grundeinstellungen'!$C$7)/LN(('Grundeinstellungen'!$C$6-$E113)/('Grundeinstellungen'!$C$7-$E113)),""))</f>
        <v/>
      </c>
      <c r="O113" s="62">
        <f>IF($B113="","",IFERROR(IFERROR(INDEX('Konstanten'!$B$6:$B$10,MATCH($I113,'Konstanten'!$A$6:$A$10,1))+($I113-INDEX('Konstanten'!$A$6:$A$10,MATCH($I113,'Konstanten'!$A$6:$A$10,1)))/(INDEX('Konstanten'!$A$6:$A$10,MATCH($I113,'Konstanten'!$A$6:$A$10,1)+1)-INDEX('Konstanten'!$A$6:$A$10,MATCH($I113,'Konstanten'!$A$6:$A$10,1)))*(INDEX('Konstanten'!$B$6:$B$10,MATCH($I113,'Konstanten'!$A$6:$A$10,1)+1)-INDEX('Konstanten'!$B$6:$B$10,MATCH($I113,'Konstanten'!$A$6:$A$10,1))),INDEX('Konstanten'!$B$6:$B$10,MATCH($I113,'Konstanten'!$A$6:$A$10,1))),""))</f>
        <v/>
      </c>
      <c r="P113" s="62">
        <f>IF($B113="","",IFERROR(IFERROR(INDEX('Konstanten'!$C$6:$C$10,MATCH($I113,'Konstanten'!$A$6:$A$10,1))+($I113-INDEX('Konstanten'!$A$6:$A$10,MATCH($I113,'Konstanten'!$A$6:$A$10,1)))/(INDEX('Konstanten'!$A$6:$A$10,MATCH($I113,'Konstanten'!$A$6:$A$10,1)+1)-INDEX('Konstanten'!$A$6:$A$10,MATCH($I113,'Konstanten'!$A$6:$A$10,1)))*(INDEX('Konstanten'!$C$6:$C$10,MATCH($I113,'Konstanten'!$A$6:$A$10,1)+1)-INDEX('Konstanten'!$C$6:$C$10,MATCH($I113,'Konstanten'!$A$6:$A$10,1))),INDEX('Konstanten'!$C$6:$C$10,MATCH($I113,'Konstanten'!$A$6:$A$10,1))),""))</f>
        <v/>
      </c>
      <c r="Q113" s="63">
        <f>IF(OR($B113="",$N113="",$O113="",$P113=""),"",'Konstanten'!$C$13*$O113*$P113^(1-($J113/1000)/0.075)*'Konstanten'!$C$14^'Konstanten'!$C$16*'Konstanten'!$C$15^'Konstanten'!$C$17*$N113)</f>
        <v/>
      </c>
      <c r="R113" s="64">
        <f>IF(OR($B113="",$Q113=""),"",$E113+$Q113/'Grundeinstellungen'!$J$6)</f>
        <v/>
      </c>
      <c r="S113" s="64">
        <f>IF($B113="","",IFERROR(VLOOKUP($M113,'Konstanten'!$H$6:$I$13,2,FALSE),29))</f>
        <v/>
      </c>
      <c r="T113" s="65">
        <f>IF(OR($B113="",$Q113=""),"",$Q113*$H113)</f>
        <v/>
      </c>
      <c r="U113" s="66">
        <f>IF(OR($B113="",$T113=""),"",$T113-$F113)</f>
        <v/>
      </c>
      <c r="V113" s="67">
        <f>IF(OR($B113="",$T113=""),"",IFERROR($T113/$F113,""))</f>
        <v/>
      </c>
      <c r="W113" s="65">
        <f>IF(OR($B113="",$H113=""),"",'Grundeinstellungen'!$J$13*$H113)</f>
        <v/>
      </c>
      <c r="X113" s="65">
        <f>IF(OR($B113="",$T113=""),"",MIN($T113,$F113)+$W113)</f>
        <v/>
      </c>
      <c r="Y113" s="68">
        <f>IF($B113="","",IFERROR($H113/($J113/1000),""))</f>
        <v/>
      </c>
      <c r="Z113" s="68">
        <f>IF($B113="","",IFERROR(2*$L113*$K113,""))</f>
        <v/>
      </c>
      <c r="AA113" s="68">
        <f>IF(OR($B113="",$Y113="",$Z113=""),"",$Y113+$Z113)</f>
        <v/>
      </c>
      <c r="AB113" s="68">
        <f>IF(OR($B113="",$AA113=""),"",IFERROR($AA113/$K113,""))</f>
        <v/>
      </c>
      <c r="AC113" s="69">
        <f>IF(OR($B113="",$X113=""),"",IFERROR(($X113/$K113)/('Grundeinstellungen'!$C$16*('Grundeinstellungen'!$C$6-'Grundeinstellungen'!$C$7))*3600,""))</f>
        <v/>
      </c>
      <c r="AD113" s="70">
        <f>IF(OR($B113="",$AC113=""),"",$AC113/'Grundeinstellungen'!$C$15*1000)</f>
        <v/>
      </c>
      <c r="AE113" s="71">
        <f>IF(OR($B113="",$AC113=""),"",IFERROR($AC113/3600/'Grundeinstellungen'!$C$15/'Grundeinstellungen'!$J$22,""))</f>
        <v/>
      </c>
      <c r="AF113" s="72">
        <f>IF(OR($B113="",$AE113=""),"",IFERROR($AE113*'Grundeinstellungen'!$J$21/'Grundeinstellungen'!$C$17,""))</f>
        <v/>
      </c>
      <c r="AG113" s="73">
        <f>IF(OR($B113="",$AF113=""),"",IF($AF113&lt;2300,"laminar",IF($AF113&lt;4000,"Übergangsbereich","turbulent")))</f>
        <v/>
      </c>
      <c r="AH113" s="74">
        <f>IF(OR($B113="",$AF113=""),"",IF($AF113&lt;2300,64/$AF113,0.316/$AF113^0.25))</f>
        <v/>
      </c>
      <c r="AI113" s="75">
        <f>IF(OR($B113="",$AH113="",$AB113=""),"",IFERROR($AH113*($AB113/'Grundeinstellungen'!$J$21)*('Grundeinstellungen'!$C$15/2)*$AE113^2,""))</f>
        <v/>
      </c>
      <c r="AJ113" s="76">
        <f>IF(OR($B113="",$AI113="",$AB113=""),"",IFERROR($AI113/$AB113,""))</f>
        <v/>
      </c>
      <c r="AK113" s="75">
        <f>IF(OR($B113="",$AI113=""),"",$AI113*(1+'Grundeinstellungen'!$C$24)+'Grundeinstellungen'!$C$25)</f>
        <v/>
      </c>
    </row>
    <row r="114">
      <c r="A114" s="51" t="n"/>
      <c r="B114" s="51" t="n"/>
      <c r="C114" s="51" t="n"/>
      <c r="D114" s="52" t="n"/>
      <c r="E114" s="53" t="n"/>
      <c r="F114" s="54" t="n"/>
      <c r="G114" s="55">
        <f>IF($B114="","",IFERROR($F114/$D114,""))</f>
        <v/>
      </c>
      <c r="H114" s="52" t="n"/>
      <c r="I114" s="56" t="n"/>
      <c r="J114" s="57" t="n"/>
      <c r="K114" s="58" t="n"/>
      <c r="L114" s="59" t="n"/>
      <c r="M114" s="60" t="n"/>
      <c r="N114" s="61">
        <f>IF($B114="","",IFERROR(('Grundeinstellungen'!$C$6-'Grundeinstellungen'!$C$7)/LN(('Grundeinstellungen'!$C$6-$E114)/('Grundeinstellungen'!$C$7-$E114)),""))</f>
        <v/>
      </c>
      <c r="O114" s="62">
        <f>IF($B114="","",IFERROR(IFERROR(INDEX('Konstanten'!$B$6:$B$10,MATCH($I114,'Konstanten'!$A$6:$A$10,1))+($I114-INDEX('Konstanten'!$A$6:$A$10,MATCH($I114,'Konstanten'!$A$6:$A$10,1)))/(INDEX('Konstanten'!$A$6:$A$10,MATCH($I114,'Konstanten'!$A$6:$A$10,1)+1)-INDEX('Konstanten'!$A$6:$A$10,MATCH($I114,'Konstanten'!$A$6:$A$10,1)))*(INDEX('Konstanten'!$B$6:$B$10,MATCH($I114,'Konstanten'!$A$6:$A$10,1)+1)-INDEX('Konstanten'!$B$6:$B$10,MATCH($I114,'Konstanten'!$A$6:$A$10,1))),INDEX('Konstanten'!$B$6:$B$10,MATCH($I114,'Konstanten'!$A$6:$A$10,1))),""))</f>
        <v/>
      </c>
      <c r="P114" s="62">
        <f>IF($B114="","",IFERROR(IFERROR(INDEX('Konstanten'!$C$6:$C$10,MATCH($I114,'Konstanten'!$A$6:$A$10,1))+($I114-INDEX('Konstanten'!$A$6:$A$10,MATCH($I114,'Konstanten'!$A$6:$A$10,1)))/(INDEX('Konstanten'!$A$6:$A$10,MATCH($I114,'Konstanten'!$A$6:$A$10,1)+1)-INDEX('Konstanten'!$A$6:$A$10,MATCH($I114,'Konstanten'!$A$6:$A$10,1)))*(INDEX('Konstanten'!$C$6:$C$10,MATCH($I114,'Konstanten'!$A$6:$A$10,1)+1)-INDEX('Konstanten'!$C$6:$C$10,MATCH($I114,'Konstanten'!$A$6:$A$10,1))),INDEX('Konstanten'!$C$6:$C$10,MATCH($I114,'Konstanten'!$A$6:$A$10,1))),""))</f>
        <v/>
      </c>
      <c r="Q114" s="63">
        <f>IF(OR($B114="",$N114="",$O114="",$P114=""),"",'Konstanten'!$C$13*$O114*$P114^(1-($J114/1000)/0.075)*'Konstanten'!$C$14^'Konstanten'!$C$16*'Konstanten'!$C$15^'Konstanten'!$C$17*$N114)</f>
        <v/>
      </c>
      <c r="R114" s="64">
        <f>IF(OR($B114="",$Q114=""),"",$E114+$Q114/'Grundeinstellungen'!$J$6)</f>
        <v/>
      </c>
      <c r="S114" s="64">
        <f>IF($B114="","",IFERROR(VLOOKUP($M114,'Konstanten'!$H$6:$I$13,2,FALSE),29))</f>
        <v/>
      </c>
      <c r="T114" s="65">
        <f>IF(OR($B114="",$Q114=""),"",$Q114*$H114)</f>
        <v/>
      </c>
      <c r="U114" s="66">
        <f>IF(OR($B114="",$T114=""),"",$T114-$F114)</f>
        <v/>
      </c>
      <c r="V114" s="67">
        <f>IF(OR($B114="",$T114=""),"",IFERROR($T114/$F114,""))</f>
        <v/>
      </c>
      <c r="W114" s="65">
        <f>IF(OR($B114="",$H114=""),"",'Grundeinstellungen'!$J$13*$H114)</f>
        <v/>
      </c>
      <c r="X114" s="65">
        <f>IF(OR($B114="",$T114=""),"",MIN($T114,$F114)+$W114)</f>
        <v/>
      </c>
      <c r="Y114" s="68">
        <f>IF($B114="","",IFERROR($H114/($J114/1000),""))</f>
        <v/>
      </c>
      <c r="Z114" s="68">
        <f>IF($B114="","",IFERROR(2*$L114*$K114,""))</f>
        <v/>
      </c>
      <c r="AA114" s="68">
        <f>IF(OR($B114="",$Y114="",$Z114=""),"",$Y114+$Z114)</f>
        <v/>
      </c>
      <c r="AB114" s="68">
        <f>IF(OR($B114="",$AA114=""),"",IFERROR($AA114/$K114,""))</f>
        <v/>
      </c>
      <c r="AC114" s="69">
        <f>IF(OR($B114="",$X114=""),"",IFERROR(($X114/$K114)/('Grundeinstellungen'!$C$16*('Grundeinstellungen'!$C$6-'Grundeinstellungen'!$C$7))*3600,""))</f>
        <v/>
      </c>
      <c r="AD114" s="70">
        <f>IF(OR($B114="",$AC114=""),"",$AC114/'Grundeinstellungen'!$C$15*1000)</f>
        <v/>
      </c>
      <c r="AE114" s="71">
        <f>IF(OR($B114="",$AC114=""),"",IFERROR($AC114/3600/'Grundeinstellungen'!$C$15/'Grundeinstellungen'!$J$22,""))</f>
        <v/>
      </c>
      <c r="AF114" s="72">
        <f>IF(OR($B114="",$AE114=""),"",IFERROR($AE114*'Grundeinstellungen'!$J$21/'Grundeinstellungen'!$C$17,""))</f>
        <v/>
      </c>
      <c r="AG114" s="73">
        <f>IF(OR($B114="",$AF114=""),"",IF($AF114&lt;2300,"laminar",IF($AF114&lt;4000,"Übergangsbereich","turbulent")))</f>
        <v/>
      </c>
      <c r="AH114" s="74">
        <f>IF(OR($B114="",$AF114=""),"",IF($AF114&lt;2300,64/$AF114,0.316/$AF114^0.25))</f>
        <v/>
      </c>
      <c r="AI114" s="75">
        <f>IF(OR($B114="",$AH114="",$AB114=""),"",IFERROR($AH114*($AB114/'Grundeinstellungen'!$J$21)*('Grundeinstellungen'!$C$15/2)*$AE114^2,""))</f>
        <v/>
      </c>
      <c r="AJ114" s="76">
        <f>IF(OR($B114="",$AI114="",$AB114=""),"",IFERROR($AI114/$AB114,""))</f>
        <v/>
      </c>
      <c r="AK114" s="75">
        <f>IF(OR($B114="",$AI114=""),"",$AI114*(1+'Grundeinstellungen'!$C$24)+'Grundeinstellungen'!$C$25)</f>
        <v/>
      </c>
    </row>
    <row r="115">
      <c r="A115" s="51" t="n"/>
      <c r="B115" s="51" t="n"/>
      <c r="C115" s="51" t="n"/>
      <c r="D115" s="52" t="n"/>
      <c r="E115" s="53" t="n"/>
      <c r="F115" s="54" t="n"/>
      <c r="G115" s="55">
        <f>IF($B115="","",IFERROR($F115/$D115,""))</f>
        <v/>
      </c>
      <c r="H115" s="52" t="n"/>
      <c r="I115" s="56" t="n"/>
      <c r="J115" s="57" t="n"/>
      <c r="K115" s="58" t="n"/>
      <c r="L115" s="59" t="n"/>
      <c r="M115" s="60" t="n"/>
      <c r="N115" s="61">
        <f>IF($B115="","",IFERROR(('Grundeinstellungen'!$C$6-'Grundeinstellungen'!$C$7)/LN(('Grundeinstellungen'!$C$6-$E115)/('Grundeinstellungen'!$C$7-$E115)),""))</f>
        <v/>
      </c>
      <c r="O115" s="62">
        <f>IF($B115="","",IFERROR(IFERROR(INDEX('Konstanten'!$B$6:$B$10,MATCH($I115,'Konstanten'!$A$6:$A$10,1))+($I115-INDEX('Konstanten'!$A$6:$A$10,MATCH($I115,'Konstanten'!$A$6:$A$10,1)))/(INDEX('Konstanten'!$A$6:$A$10,MATCH($I115,'Konstanten'!$A$6:$A$10,1)+1)-INDEX('Konstanten'!$A$6:$A$10,MATCH($I115,'Konstanten'!$A$6:$A$10,1)))*(INDEX('Konstanten'!$B$6:$B$10,MATCH($I115,'Konstanten'!$A$6:$A$10,1)+1)-INDEX('Konstanten'!$B$6:$B$10,MATCH($I115,'Konstanten'!$A$6:$A$10,1))),INDEX('Konstanten'!$B$6:$B$10,MATCH($I115,'Konstanten'!$A$6:$A$10,1))),""))</f>
        <v/>
      </c>
      <c r="P115" s="62">
        <f>IF($B115="","",IFERROR(IFERROR(INDEX('Konstanten'!$C$6:$C$10,MATCH($I115,'Konstanten'!$A$6:$A$10,1))+($I115-INDEX('Konstanten'!$A$6:$A$10,MATCH($I115,'Konstanten'!$A$6:$A$10,1)))/(INDEX('Konstanten'!$A$6:$A$10,MATCH($I115,'Konstanten'!$A$6:$A$10,1)+1)-INDEX('Konstanten'!$A$6:$A$10,MATCH($I115,'Konstanten'!$A$6:$A$10,1)))*(INDEX('Konstanten'!$C$6:$C$10,MATCH($I115,'Konstanten'!$A$6:$A$10,1)+1)-INDEX('Konstanten'!$C$6:$C$10,MATCH($I115,'Konstanten'!$A$6:$A$10,1))),INDEX('Konstanten'!$C$6:$C$10,MATCH($I115,'Konstanten'!$A$6:$A$10,1))),""))</f>
        <v/>
      </c>
      <c r="Q115" s="63">
        <f>IF(OR($B115="",$N115="",$O115="",$P115=""),"",'Konstanten'!$C$13*$O115*$P115^(1-($J115/1000)/0.075)*'Konstanten'!$C$14^'Konstanten'!$C$16*'Konstanten'!$C$15^'Konstanten'!$C$17*$N115)</f>
        <v/>
      </c>
      <c r="R115" s="64">
        <f>IF(OR($B115="",$Q115=""),"",$E115+$Q115/'Grundeinstellungen'!$J$6)</f>
        <v/>
      </c>
      <c r="S115" s="64">
        <f>IF($B115="","",IFERROR(VLOOKUP($M115,'Konstanten'!$H$6:$I$13,2,FALSE),29))</f>
        <v/>
      </c>
      <c r="T115" s="65">
        <f>IF(OR($B115="",$Q115=""),"",$Q115*$H115)</f>
        <v/>
      </c>
      <c r="U115" s="66">
        <f>IF(OR($B115="",$T115=""),"",$T115-$F115)</f>
        <v/>
      </c>
      <c r="V115" s="67">
        <f>IF(OR($B115="",$T115=""),"",IFERROR($T115/$F115,""))</f>
        <v/>
      </c>
      <c r="W115" s="65">
        <f>IF(OR($B115="",$H115=""),"",'Grundeinstellungen'!$J$13*$H115)</f>
        <v/>
      </c>
      <c r="X115" s="65">
        <f>IF(OR($B115="",$T115=""),"",MIN($T115,$F115)+$W115)</f>
        <v/>
      </c>
      <c r="Y115" s="68">
        <f>IF($B115="","",IFERROR($H115/($J115/1000),""))</f>
        <v/>
      </c>
      <c r="Z115" s="68">
        <f>IF($B115="","",IFERROR(2*$L115*$K115,""))</f>
        <v/>
      </c>
      <c r="AA115" s="68">
        <f>IF(OR($B115="",$Y115="",$Z115=""),"",$Y115+$Z115)</f>
        <v/>
      </c>
      <c r="AB115" s="68">
        <f>IF(OR($B115="",$AA115=""),"",IFERROR($AA115/$K115,""))</f>
        <v/>
      </c>
      <c r="AC115" s="69">
        <f>IF(OR($B115="",$X115=""),"",IFERROR(($X115/$K115)/('Grundeinstellungen'!$C$16*('Grundeinstellungen'!$C$6-'Grundeinstellungen'!$C$7))*3600,""))</f>
        <v/>
      </c>
      <c r="AD115" s="70">
        <f>IF(OR($B115="",$AC115=""),"",$AC115/'Grundeinstellungen'!$C$15*1000)</f>
        <v/>
      </c>
      <c r="AE115" s="71">
        <f>IF(OR($B115="",$AC115=""),"",IFERROR($AC115/3600/'Grundeinstellungen'!$C$15/'Grundeinstellungen'!$J$22,""))</f>
        <v/>
      </c>
      <c r="AF115" s="72">
        <f>IF(OR($B115="",$AE115=""),"",IFERROR($AE115*'Grundeinstellungen'!$J$21/'Grundeinstellungen'!$C$17,""))</f>
        <v/>
      </c>
      <c r="AG115" s="73">
        <f>IF(OR($B115="",$AF115=""),"",IF($AF115&lt;2300,"laminar",IF($AF115&lt;4000,"Übergangsbereich","turbulent")))</f>
        <v/>
      </c>
      <c r="AH115" s="74">
        <f>IF(OR($B115="",$AF115=""),"",IF($AF115&lt;2300,64/$AF115,0.316/$AF115^0.25))</f>
        <v/>
      </c>
      <c r="AI115" s="75">
        <f>IF(OR($B115="",$AH115="",$AB115=""),"",IFERROR($AH115*($AB115/'Grundeinstellungen'!$J$21)*('Grundeinstellungen'!$C$15/2)*$AE115^2,""))</f>
        <v/>
      </c>
      <c r="AJ115" s="76">
        <f>IF(OR($B115="",$AI115="",$AB115=""),"",IFERROR($AI115/$AB115,""))</f>
        <v/>
      </c>
      <c r="AK115" s="75">
        <f>IF(OR($B115="",$AI115=""),"",$AI115*(1+'Grundeinstellungen'!$C$24)+'Grundeinstellungen'!$C$25)</f>
        <v/>
      </c>
    </row>
    <row r="116">
      <c r="A116" s="51" t="n"/>
      <c r="B116" s="51" t="n"/>
      <c r="C116" s="51" t="n"/>
      <c r="D116" s="52" t="n"/>
      <c r="E116" s="53" t="n"/>
      <c r="F116" s="54" t="n"/>
      <c r="G116" s="55">
        <f>IF($B116="","",IFERROR($F116/$D116,""))</f>
        <v/>
      </c>
      <c r="H116" s="52" t="n"/>
      <c r="I116" s="56" t="n"/>
      <c r="J116" s="57" t="n"/>
      <c r="K116" s="58" t="n"/>
      <c r="L116" s="59" t="n"/>
      <c r="M116" s="60" t="n"/>
      <c r="N116" s="61">
        <f>IF($B116="","",IFERROR(('Grundeinstellungen'!$C$6-'Grundeinstellungen'!$C$7)/LN(('Grundeinstellungen'!$C$6-$E116)/('Grundeinstellungen'!$C$7-$E116)),""))</f>
        <v/>
      </c>
      <c r="O116" s="62">
        <f>IF($B116="","",IFERROR(IFERROR(INDEX('Konstanten'!$B$6:$B$10,MATCH($I116,'Konstanten'!$A$6:$A$10,1))+($I116-INDEX('Konstanten'!$A$6:$A$10,MATCH($I116,'Konstanten'!$A$6:$A$10,1)))/(INDEX('Konstanten'!$A$6:$A$10,MATCH($I116,'Konstanten'!$A$6:$A$10,1)+1)-INDEX('Konstanten'!$A$6:$A$10,MATCH($I116,'Konstanten'!$A$6:$A$10,1)))*(INDEX('Konstanten'!$B$6:$B$10,MATCH($I116,'Konstanten'!$A$6:$A$10,1)+1)-INDEX('Konstanten'!$B$6:$B$10,MATCH($I116,'Konstanten'!$A$6:$A$10,1))),INDEX('Konstanten'!$B$6:$B$10,MATCH($I116,'Konstanten'!$A$6:$A$10,1))),""))</f>
        <v/>
      </c>
      <c r="P116" s="62">
        <f>IF($B116="","",IFERROR(IFERROR(INDEX('Konstanten'!$C$6:$C$10,MATCH($I116,'Konstanten'!$A$6:$A$10,1))+($I116-INDEX('Konstanten'!$A$6:$A$10,MATCH($I116,'Konstanten'!$A$6:$A$10,1)))/(INDEX('Konstanten'!$A$6:$A$10,MATCH($I116,'Konstanten'!$A$6:$A$10,1)+1)-INDEX('Konstanten'!$A$6:$A$10,MATCH($I116,'Konstanten'!$A$6:$A$10,1)))*(INDEX('Konstanten'!$C$6:$C$10,MATCH($I116,'Konstanten'!$A$6:$A$10,1)+1)-INDEX('Konstanten'!$C$6:$C$10,MATCH($I116,'Konstanten'!$A$6:$A$10,1))),INDEX('Konstanten'!$C$6:$C$10,MATCH($I116,'Konstanten'!$A$6:$A$10,1))),""))</f>
        <v/>
      </c>
      <c r="Q116" s="63">
        <f>IF(OR($B116="",$N116="",$O116="",$P116=""),"",'Konstanten'!$C$13*$O116*$P116^(1-($J116/1000)/0.075)*'Konstanten'!$C$14^'Konstanten'!$C$16*'Konstanten'!$C$15^'Konstanten'!$C$17*$N116)</f>
        <v/>
      </c>
      <c r="R116" s="64">
        <f>IF(OR($B116="",$Q116=""),"",$E116+$Q116/'Grundeinstellungen'!$J$6)</f>
        <v/>
      </c>
      <c r="S116" s="64">
        <f>IF($B116="","",IFERROR(VLOOKUP($M116,'Konstanten'!$H$6:$I$13,2,FALSE),29))</f>
        <v/>
      </c>
      <c r="T116" s="65">
        <f>IF(OR($B116="",$Q116=""),"",$Q116*$H116)</f>
        <v/>
      </c>
      <c r="U116" s="66">
        <f>IF(OR($B116="",$T116=""),"",$T116-$F116)</f>
        <v/>
      </c>
      <c r="V116" s="67">
        <f>IF(OR($B116="",$T116=""),"",IFERROR($T116/$F116,""))</f>
        <v/>
      </c>
      <c r="W116" s="65">
        <f>IF(OR($B116="",$H116=""),"",'Grundeinstellungen'!$J$13*$H116)</f>
        <v/>
      </c>
      <c r="X116" s="65">
        <f>IF(OR($B116="",$T116=""),"",MIN($T116,$F116)+$W116)</f>
        <v/>
      </c>
      <c r="Y116" s="68">
        <f>IF($B116="","",IFERROR($H116/($J116/1000),""))</f>
        <v/>
      </c>
      <c r="Z116" s="68">
        <f>IF($B116="","",IFERROR(2*$L116*$K116,""))</f>
        <v/>
      </c>
      <c r="AA116" s="68">
        <f>IF(OR($B116="",$Y116="",$Z116=""),"",$Y116+$Z116)</f>
        <v/>
      </c>
      <c r="AB116" s="68">
        <f>IF(OR($B116="",$AA116=""),"",IFERROR($AA116/$K116,""))</f>
        <v/>
      </c>
      <c r="AC116" s="69">
        <f>IF(OR($B116="",$X116=""),"",IFERROR(($X116/$K116)/('Grundeinstellungen'!$C$16*('Grundeinstellungen'!$C$6-'Grundeinstellungen'!$C$7))*3600,""))</f>
        <v/>
      </c>
      <c r="AD116" s="70">
        <f>IF(OR($B116="",$AC116=""),"",$AC116/'Grundeinstellungen'!$C$15*1000)</f>
        <v/>
      </c>
      <c r="AE116" s="71">
        <f>IF(OR($B116="",$AC116=""),"",IFERROR($AC116/3600/'Grundeinstellungen'!$C$15/'Grundeinstellungen'!$J$22,""))</f>
        <v/>
      </c>
      <c r="AF116" s="72">
        <f>IF(OR($B116="",$AE116=""),"",IFERROR($AE116*'Grundeinstellungen'!$J$21/'Grundeinstellungen'!$C$17,""))</f>
        <v/>
      </c>
      <c r="AG116" s="73">
        <f>IF(OR($B116="",$AF116=""),"",IF($AF116&lt;2300,"laminar",IF($AF116&lt;4000,"Übergangsbereich","turbulent")))</f>
        <v/>
      </c>
      <c r="AH116" s="74">
        <f>IF(OR($B116="",$AF116=""),"",IF($AF116&lt;2300,64/$AF116,0.316/$AF116^0.25))</f>
        <v/>
      </c>
      <c r="AI116" s="75">
        <f>IF(OR($B116="",$AH116="",$AB116=""),"",IFERROR($AH116*($AB116/'Grundeinstellungen'!$J$21)*('Grundeinstellungen'!$C$15/2)*$AE116^2,""))</f>
        <v/>
      </c>
      <c r="AJ116" s="76">
        <f>IF(OR($B116="",$AI116="",$AB116=""),"",IFERROR($AI116/$AB116,""))</f>
        <v/>
      </c>
      <c r="AK116" s="75">
        <f>IF(OR($B116="",$AI116=""),"",$AI116*(1+'Grundeinstellungen'!$C$24)+'Grundeinstellungen'!$C$25)</f>
        <v/>
      </c>
    </row>
    <row r="117">
      <c r="A117" s="51" t="n"/>
      <c r="B117" s="51" t="n"/>
      <c r="C117" s="51" t="n"/>
      <c r="D117" s="52" t="n"/>
      <c r="E117" s="53" t="n"/>
      <c r="F117" s="54" t="n"/>
      <c r="G117" s="55">
        <f>IF($B117="","",IFERROR($F117/$D117,""))</f>
        <v/>
      </c>
      <c r="H117" s="52" t="n"/>
      <c r="I117" s="56" t="n"/>
      <c r="J117" s="57" t="n"/>
      <c r="K117" s="58" t="n"/>
      <c r="L117" s="59" t="n"/>
      <c r="M117" s="60" t="n"/>
      <c r="N117" s="61">
        <f>IF($B117="","",IFERROR(('Grundeinstellungen'!$C$6-'Grundeinstellungen'!$C$7)/LN(('Grundeinstellungen'!$C$6-$E117)/('Grundeinstellungen'!$C$7-$E117)),""))</f>
        <v/>
      </c>
      <c r="O117" s="62">
        <f>IF($B117="","",IFERROR(IFERROR(INDEX('Konstanten'!$B$6:$B$10,MATCH($I117,'Konstanten'!$A$6:$A$10,1))+($I117-INDEX('Konstanten'!$A$6:$A$10,MATCH($I117,'Konstanten'!$A$6:$A$10,1)))/(INDEX('Konstanten'!$A$6:$A$10,MATCH($I117,'Konstanten'!$A$6:$A$10,1)+1)-INDEX('Konstanten'!$A$6:$A$10,MATCH($I117,'Konstanten'!$A$6:$A$10,1)))*(INDEX('Konstanten'!$B$6:$B$10,MATCH($I117,'Konstanten'!$A$6:$A$10,1)+1)-INDEX('Konstanten'!$B$6:$B$10,MATCH($I117,'Konstanten'!$A$6:$A$10,1))),INDEX('Konstanten'!$B$6:$B$10,MATCH($I117,'Konstanten'!$A$6:$A$10,1))),""))</f>
        <v/>
      </c>
      <c r="P117" s="62">
        <f>IF($B117="","",IFERROR(IFERROR(INDEX('Konstanten'!$C$6:$C$10,MATCH($I117,'Konstanten'!$A$6:$A$10,1))+($I117-INDEX('Konstanten'!$A$6:$A$10,MATCH($I117,'Konstanten'!$A$6:$A$10,1)))/(INDEX('Konstanten'!$A$6:$A$10,MATCH($I117,'Konstanten'!$A$6:$A$10,1)+1)-INDEX('Konstanten'!$A$6:$A$10,MATCH($I117,'Konstanten'!$A$6:$A$10,1)))*(INDEX('Konstanten'!$C$6:$C$10,MATCH($I117,'Konstanten'!$A$6:$A$10,1)+1)-INDEX('Konstanten'!$C$6:$C$10,MATCH($I117,'Konstanten'!$A$6:$A$10,1))),INDEX('Konstanten'!$C$6:$C$10,MATCH($I117,'Konstanten'!$A$6:$A$10,1))),""))</f>
        <v/>
      </c>
      <c r="Q117" s="63">
        <f>IF(OR($B117="",$N117="",$O117="",$P117=""),"",'Konstanten'!$C$13*$O117*$P117^(1-($J117/1000)/0.075)*'Konstanten'!$C$14^'Konstanten'!$C$16*'Konstanten'!$C$15^'Konstanten'!$C$17*$N117)</f>
        <v/>
      </c>
      <c r="R117" s="64">
        <f>IF(OR($B117="",$Q117=""),"",$E117+$Q117/'Grundeinstellungen'!$J$6)</f>
        <v/>
      </c>
      <c r="S117" s="64">
        <f>IF($B117="","",IFERROR(VLOOKUP($M117,'Konstanten'!$H$6:$I$13,2,FALSE),29))</f>
        <v/>
      </c>
      <c r="T117" s="65">
        <f>IF(OR($B117="",$Q117=""),"",$Q117*$H117)</f>
        <v/>
      </c>
      <c r="U117" s="66">
        <f>IF(OR($B117="",$T117=""),"",$T117-$F117)</f>
        <v/>
      </c>
      <c r="V117" s="67">
        <f>IF(OR($B117="",$T117=""),"",IFERROR($T117/$F117,""))</f>
        <v/>
      </c>
      <c r="W117" s="65">
        <f>IF(OR($B117="",$H117=""),"",'Grundeinstellungen'!$J$13*$H117)</f>
        <v/>
      </c>
      <c r="X117" s="65">
        <f>IF(OR($B117="",$T117=""),"",MIN($T117,$F117)+$W117)</f>
        <v/>
      </c>
      <c r="Y117" s="68">
        <f>IF($B117="","",IFERROR($H117/($J117/1000),""))</f>
        <v/>
      </c>
      <c r="Z117" s="68">
        <f>IF($B117="","",IFERROR(2*$L117*$K117,""))</f>
        <v/>
      </c>
      <c r="AA117" s="68">
        <f>IF(OR($B117="",$Y117="",$Z117=""),"",$Y117+$Z117)</f>
        <v/>
      </c>
      <c r="AB117" s="68">
        <f>IF(OR($B117="",$AA117=""),"",IFERROR($AA117/$K117,""))</f>
        <v/>
      </c>
      <c r="AC117" s="69">
        <f>IF(OR($B117="",$X117=""),"",IFERROR(($X117/$K117)/('Grundeinstellungen'!$C$16*('Grundeinstellungen'!$C$6-'Grundeinstellungen'!$C$7))*3600,""))</f>
        <v/>
      </c>
      <c r="AD117" s="70">
        <f>IF(OR($B117="",$AC117=""),"",$AC117/'Grundeinstellungen'!$C$15*1000)</f>
        <v/>
      </c>
      <c r="AE117" s="71">
        <f>IF(OR($B117="",$AC117=""),"",IFERROR($AC117/3600/'Grundeinstellungen'!$C$15/'Grundeinstellungen'!$J$22,""))</f>
        <v/>
      </c>
      <c r="AF117" s="72">
        <f>IF(OR($B117="",$AE117=""),"",IFERROR($AE117*'Grundeinstellungen'!$J$21/'Grundeinstellungen'!$C$17,""))</f>
        <v/>
      </c>
      <c r="AG117" s="73">
        <f>IF(OR($B117="",$AF117=""),"",IF($AF117&lt;2300,"laminar",IF($AF117&lt;4000,"Übergangsbereich","turbulent")))</f>
        <v/>
      </c>
      <c r="AH117" s="74">
        <f>IF(OR($B117="",$AF117=""),"",IF($AF117&lt;2300,64/$AF117,0.316/$AF117^0.25))</f>
        <v/>
      </c>
      <c r="AI117" s="75">
        <f>IF(OR($B117="",$AH117="",$AB117=""),"",IFERROR($AH117*($AB117/'Grundeinstellungen'!$J$21)*('Grundeinstellungen'!$C$15/2)*$AE117^2,""))</f>
        <v/>
      </c>
      <c r="AJ117" s="76">
        <f>IF(OR($B117="",$AI117="",$AB117=""),"",IFERROR($AI117/$AB117,""))</f>
        <v/>
      </c>
      <c r="AK117" s="75">
        <f>IF(OR($B117="",$AI117=""),"",$AI117*(1+'Grundeinstellungen'!$C$24)+'Grundeinstellungen'!$C$25)</f>
        <v/>
      </c>
    </row>
    <row r="118">
      <c r="A118" s="51" t="n"/>
      <c r="B118" s="51" t="n"/>
      <c r="C118" s="51" t="n"/>
      <c r="D118" s="52" t="n"/>
      <c r="E118" s="53" t="n"/>
      <c r="F118" s="54" t="n"/>
      <c r="G118" s="55">
        <f>IF($B118="","",IFERROR($F118/$D118,""))</f>
        <v/>
      </c>
      <c r="H118" s="52" t="n"/>
      <c r="I118" s="56" t="n"/>
      <c r="J118" s="57" t="n"/>
      <c r="K118" s="58" t="n"/>
      <c r="L118" s="59" t="n"/>
      <c r="M118" s="60" t="n"/>
      <c r="N118" s="61">
        <f>IF($B118="","",IFERROR(('Grundeinstellungen'!$C$6-'Grundeinstellungen'!$C$7)/LN(('Grundeinstellungen'!$C$6-$E118)/('Grundeinstellungen'!$C$7-$E118)),""))</f>
        <v/>
      </c>
      <c r="O118" s="62">
        <f>IF($B118="","",IFERROR(IFERROR(INDEX('Konstanten'!$B$6:$B$10,MATCH($I118,'Konstanten'!$A$6:$A$10,1))+($I118-INDEX('Konstanten'!$A$6:$A$10,MATCH($I118,'Konstanten'!$A$6:$A$10,1)))/(INDEX('Konstanten'!$A$6:$A$10,MATCH($I118,'Konstanten'!$A$6:$A$10,1)+1)-INDEX('Konstanten'!$A$6:$A$10,MATCH($I118,'Konstanten'!$A$6:$A$10,1)))*(INDEX('Konstanten'!$B$6:$B$10,MATCH($I118,'Konstanten'!$A$6:$A$10,1)+1)-INDEX('Konstanten'!$B$6:$B$10,MATCH($I118,'Konstanten'!$A$6:$A$10,1))),INDEX('Konstanten'!$B$6:$B$10,MATCH($I118,'Konstanten'!$A$6:$A$10,1))),""))</f>
        <v/>
      </c>
      <c r="P118" s="62">
        <f>IF($B118="","",IFERROR(IFERROR(INDEX('Konstanten'!$C$6:$C$10,MATCH($I118,'Konstanten'!$A$6:$A$10,1))+($I118-INDEX('Konstanten'!$A$6:$A$10,MATCH($I118,'Konstanten'!$A$6:$A$10,1)))/(INDEX('Konstanten'!$A$6:$A$10,MATCH($I118,'Konstanten'!$A$6:$A$10,1)+1)-INDEX('Konstanten'!$A$6:$A$10,MATCH($I118,'Konstanten'!$A$6:$A$10,1)))*(INDEX('Konstanten'!$C$6:$C$10,MATCH($I118,'Konstanten'!$A$6:$A$10,1)+1)-INDEX('Konstanten'!$C$6:$C$10,MATCH($I118,'Konstanten'!$A$6:$A$10,1))),INDEX('Konstanten'!$C$6:$C$10,MATCH($I118,'Konstanten'!$A$6:$A$10,1))),""))</f>
        <v/>
      </c>
      <c r="Q118" s="63">
        <f>IF(OR($B118="",$N118="",$O118="",$P118=""),"",'Konstanten'!$C$13*$O118*$P118^(1-($J118/1000)/0.075)*'Konstanten'!$C$14^'Konstanten'!$C$16*'Konstanten'!$C$15^'Konstanten'!$C$17*$N118)</f>
        <v/>
      </c>
      <c r="R118" s="64">
        <f>IF(OR($B118="",$Q118=""),"",$E118+$Q118/'Grundeinstellungen'!$J$6)</f>
        <v/>
      </c>
      <c r="S118" s="64">
        <f>IF($B118="","",IFERROR(VLOOKUP($M118,'Konstanten'!$H$6:$I$13,2,FALSE),29))</f>
        <v/>
      </c>
      <c r="T118" s="65">
        <f>IF(OR($B118="",$Q118=""),"",$Q118*$H118)</f>
        <v/>
      </c>
      <c r="U118" s="66">
        <f>IF(OR($B118="",$T118=""),"",$T118-$F118)</f>
        <v/>
      </c>
      <c r="V118" s="67">
        <f>IF(OR($B118="",$T118=""),"",IFERROR($T118/$F118,""))</f>
        <v/>
      </c>
      <c r="W118" s="65">
        <f>IF(OR($B118="",$H118=""),"",'Grundeinstellungen'!$J$13*$H118)</f>
        <v/>
      </c>
      <c r="X118" s="65">
        <f>IF(OR($B118="",$T118=""),"",MIN($T118,$F118)+$W118)</f>
        <v/>
      </c>
      <c r="Y118" s="68">
        <f>IF($B118="","",IFERROR($H118/($J118/1000),""))</f>
        <v/>
      </c>
      <c r="Z118" s="68">
        <f>IF($B118="","",IFERROR(2*$L118*$K118,""))</f>
        <v/>
      </c>
      <c r="AA118" s="68">
        <f>IF(OR($B118="",$Y118="",$Z118=""),"",$Y118+$Z118)</f>
        <v/>
      </c>
      <c r="AB118" s="68">
        <f>IF(OR($B118="",$AA118=""),"",IFERROR($AA118/$K118,""))</f>
        <v/>
      </c>
      <c r="AC118" s="69">
        <f>IF(OR($B118="",$X118=""),"",IFERROR(($X118/$K118)/('Grundeinstellungen'!$C$16*('Grundeinstellungen'!$C$6-'Grundeinstellungen'!$C$7))*3600,""))</f>
        <v/>
      </c>
      <c r="AD118" s="70">
        <f>IF(OR($B118="",$AC118=""),"",$AC118/'Grundeinstellungen'!$C$15*1000)</f>
        <v/>
      </c>
      <c r="AE118" s="71">
        <f>IF(OR($B118="",$AC118=""),"",IFERROR($AC118/3600/'Grundeinstellungen'!$C$15/'Grundeinstellungen'!$J$22,""))</f>
        <v/>
      </c>
      <c r="AF118" s="72">
        <f>IF(OR($B118="",$AE118=""),"",IFERROR($AE118*'Grundeinstellungen'!$J$21/'Grundeinstellungen'!$C$17,""))</f>
        <v/>
      </c>
      <c r="AG118" s="73">
        <f>IF(OR($B118="",$AF118=""),"",IF($AF118&lt;2300,"laminar",IF($AF118&lt;4000,"Übergangsbereich","turbulent")))</f>
        <v/>
      </c>
      <c r="AH118" s="74">
        <f>IF(OR($B118="",$AF118=""),"",IF($AF118&lt;2300,64/$AF118,0.316/$AF118^0.25))</f>
        <v/>
      </c>
      <c r="AI118" s="75">
        <f>IF(OR($B118="",$AH118="",$AB118=""),"",IFERROR($AH118*($AB118/'Grundeinstellungen'!$J$21)*('Grundeinstellungen'!$C$15/2)*$AE118^2,""))</f>
        <v/>
      </c>
      <c r="AJ118" s="76">
        <f>IF(OR($B118="",$AI118="",$AB118=""),"",IFERROR($AI118/$AB118,""))</f>
        <v/>
      </c>
      <c r="AK118" s="75">
        <f>IF(OR($B118="",$AI118=""),"",$AI118*(1+'Grundeinstellungen'!$C$24)+'Grundeinstellungen'!$C$25)</f>
        <v/>
      </c>
    </row>
    <row r="119">
      <c r="A119" s="51" t="n"/>
      <c r="B119" s="51" t="n"/>
      <c r="C119" s="51" t="n"/>
      <c r="D119" s="52" t="n"/>
      <c r="E119" s="53" t="n"/>
      <c r="F119" s="54" t="n"/>
      <c r="G119" s="55">
        <f>IF($B119="","",IFERROR($F119/$D119,""))</f>
        <v/>
      </c>
      <c r="H119" s="52" t="n"/>
      <c r="I119" s="56" t="n"/>
      <c r="J119" s="57" t="n"/>
      <c r="K119" s="58" t="n"/>
      <c r="L119" s="59" t="n"/>
      <c r="M119" s="60" t="n"/>
      <c r="N119" s="61">
        <f>IF($B119="","",IFERROR(('Grundeinstellungen'!$C$6-'Grundeinstellungen'!$C$7)/LN(('Grundeinstellungen'!$C$6-$E119)/('Grundeinstellungen'!$C$7-$E119)),""))</f>
        <v/>
      </c>
      <c r="O119" s="62">
        <f>IF($B119="","",IFERROR(IFERROR(INDEX('Konstanten'!$B$6:$B$10,MATCH($I119,'Konstanten'!$A$6:$A$10,1))+($I119-INDEX('Konstanten'!$A$6:$A$10,MATCH($I119,'Konstanten'!$A$6:$A$10,1)))/(INDEX('Konstanten'!$A$6:$A$10,MATCH($I119,'Konstanten'!$A$6:$A$10,1)+1)-INDEX('Konstanten'!$A$6:$A$10,MATCH($I119,'Konstanten'!$A$6:$A$10,1)))*(INDEX('Konstanten'!$B$6:$B$10,MATCH($I119,'Konstanten'!$A$6:$A$10,1)+1)-INDEX('Konstanten'!$B$6:$B$10,MATCH($I119,'Konstanten'!$A$6:$A$10,1))),INDEX('Konstanten'!$B$6:$B$10,MATCH($I119,'Konstanten'!$A$6:$A$10,1))),""))</f>
        <v/>
      </c>
      <c r="P119" s="62">
        <f>IF($B119="","",IFERROR(IFERROR(INDEX('Konstanten'!$C$6:$C$10,MATCH($I119,'Konstanten'!$A$6:$A$10,1))+($I119-INDEX('Konstanten'!$A$6:$A$10,MATCH($I119,'Konstanten'!$A$6:$A$10,1)))/(INDEX('Konstanten'!$A$6:$A$10,MATCH($I119,'Konstanten'!$A$6:$A$10,1)+1)-INDEX('Konstanten'!$A$6:$A$10,MATCH($I119,'Konstanten'!$A$6:$A$10,1)))*(INDEX('Konstanten'!$C$6:$C$10,MATCH($I119,'Konstanten'!$A$6:$A$10,1)+1)-INDEX('Konstanten'!$C$6:$C$10,MATCH($I119,'Konstanten'!$A$6:$A$10,1))),INDEX('Konstanten'!$C$6:$C$10,MATCH($I119,'Konstanten'!$A$6:$A$10,1))),""))</f>
        <v/>
      </c>
      <c r="Q119" s="63">
        <f>IF(OR($B119="",$N119="",$O119="",$P119=""),"",'Konstanten'!$C$13*$O119*$P119^(1-($J119/1000)/0.075)*'Konstanten'!$C$14^'Konstanten'!$C$16*'Konstanten'!$C$15^'Konstanten'!$C$17*$N119)</f>
        <v/>
      </c>
      <c r="R119" s="64">
        <f>IF(OR($B119="",$Q119=""),"",$E119+$Q119/'Grundeinstellungen'!$J$6)</f>
        <v/>
      </c>
      <c r="S119" s="64">
        <f>IF($B119="","",IFERROR(VLOOKUP($M119,'Konstanten'!$H$6:$I$13,2,FALSE),29))</f>
        <v/>
      </c>
      <c r="T119" s="65">
        <f>IF(OR($B119="",$Q119=""),"",$Q119*$H119)</f>
        <v/>
      </c>
      <c r="U119" s="66">
        <f>IF(OR($B119="",$T119=""),"",$T119-$F119)</f>
        <v/>
      </c>
      <c r="V119" s="67">
        <f>IF(OR($B119="",$T119=""),"",IFERROR($T119/$F119,""))</f>
        <v/>
      </c>
      <c r="W119" s="65">
        <f>IF(OR($B119="",$H119=""),"",'Grundeinstellungen'!$J$13*$H119)</f>
        <v/>
      </c>
      <c r="X119" s="65">
        <f>IF(OR($B119="",$T119=""),"",MIN($T119,$F119)+$W119)</f>
        <v/>
      </c>
      <c r="Y119" s="68">
        <f>IF($B119="","",IFERROR($H119/($J119/1000),""))</f>
        <v/>
      </c>
      <c r="Z119" s="68">
        <f>IF($B119="","",IFERROR(2*$L119*$K119,""))</f>
        <v/>
      </c>
      <c r="AA119" s="68">
        <f>IF(OR($B119="",$Y119="",$Z119=""),"",$Y119+$Z119)</f>
        <v/>
      </c>
      <c r="AB119" s="68">
        <f>IF(OR($B119="",$AA119=""),"",IFERROR($AA119/$K119,""))</f>
        <v/>
      </c>
      <c r="AC119" s="69">
        <f>IF(OR($B119="",$X119=""),"",IFERROR(($X119/$K119)/('Grundeinstellungen'!$C$16*('Grundeinstellungen'!$C$6-'Grundeinstellungen'!$C$7))*3600,""))</f>
        <v/>
      </c>
      <c r="AD119" s="70">
        <f>IF(OR($B119="",$AC119=""),"",$AC119/'Grundeinstellungen'!$C$15*1000)</f>
        <v/>
      </c>
      <c r="AE119" s="71">
        <f>IF(OR($B119="",$AC119=""),"",IFERROR($AC119/3600/'Grundeinstellungen'!$C$15/'Grundeinstellungen'!$J$22,""))</f>
        <v/>
      </c>
      <c r="AF119" s="72">
        <f>IF(OR($B119="",$AE119=""),"",IFERROR($AE119*'Grundeinstellungen'!$J$21/'Grundeinstellungen'!$C$17,""))</f>
        <v/>
      </c>
      <c r="AG119" s="73">
        <f>IF(OR($B119="",$AF119=""),"",IF($AF119&lt;2300,"laminar",IF($AF119&lt;4000,"Übergangsbereich","turbulent")))</f>
        <v/>
      </c>
      <c r="AH119" s="74">
        <f>IF(OR($B119="",$AF119=""),"",IF($AF119&lt;2300,64/$AF119,0.316/$AF119^0.25))</f>
        <v/>
      </c>
      <c r="AI119" s="75">
        <f>IF(OR($B119="",$AH119="",$AB119=""),"",IFERROR($AH119*($AB119/'Grundeinstellungen'!$J$21)*('Grundeinstellungen'!$C$15/2)*$AE119^2,""))</f>
        <v/>
      </c>
      <c r="AJ119" s="76">
        <f>IF(OR($B119="",$AI119="",$AB119=""),"",IFERROR($AI119/$AB119,""))</f>
        <v/>
      </c>
      <c r="AK119" s="75">
        <f>IF(OR($B119="",$AI119=""),"",$AI119*(1+'Grundeinstellungen'!$C$24)+'Grundeinstellungen'!$C$25)</f>
        <v/>
      </c>
    </row>
    <row r="120">
      <c r="A120" s="51" t="n"/>
      <c r="B120" s="51" t="n"/>
      <c r="C120" s="51" t="n"/>
      <c r="D120" s="52" t="n"/>
      <c r="E120" s="53" t="n"/>
      <c r="F120" s="54" t="n"/>
      <c r="G120" s="55">
        <f>IF($B120="","",IFERROR($F120/$D120,""))</f>
        <v/>
      </c>
      <c r="H120" s="52" t="n"/>
      <c r="I120" s="56" t="n"/>
      <c r="J120" s="57" t="n"/>
      <c r="K120" s="58" t="n"/>
      <c r="L120" s="59" t="n"/>
      <c r="M120" s="60" t="n"/>
      <c r="N120" s="61">
        <f>IF($B120="","",IFERROR(('Grundeinstellungen'!$C$6-'Grundeinstellungen'!$C$7)/LN(('Grundeinstellungen'!$C$6-$E120)/('Grundeinstellungen'!$C$7-$E120)),""))</f>
        <v/>
      </c>
      <c r="O120" s="62">
        <f>IF($B120="","",IFERROR(IFERROR(INDEX('Konstanten'!$B$6:$B$10,MATCH($I120,'Konstanten'!$A$6:$A$10,1))+($I120-INDEX('Konstanten'!$A$6:$A$10,MATCH($I120,'Konstanten'!$A$6:$A$10,1)))/(INDEX('Konstanten'!$A$6:$A$10,MATCH($I120,'Konstanten'!$A$6:$A$10,1)+1)-INDEX('Konstanten'!$A$6:$A$10,MATCH($I120,'Konstanten'!$A$6:$A$10,1)))*(INDEX('Konstanten'!$B$6:$B$10,MATCH($I120,'Konstanten'!$A$6:$A$10,1)+1)-INDEX('Konstanten'!$B$6:$B$10,MATCH($I120,'Konstanten'!$A$6:$A$10,1))),INDEX('Konstanten'!$B$6:$B$10,MATCH($I120,'Konstanten'!$A$6:$A$10,1))),""))</f>
        <v/>
      </c>
      <c r="P120" s="62">
        <f>IF($B120="","",IFERROR(IFERROR(INDEX('Konstanten'!$C$6:$C$10,MATCH($I120,'Konstanten'!$A$6:$A$10,1))+($I120-INDEX('Konstanten'!$A$6:$A$10,MATCH($I120,'Konstanten'!$A$6:$A$10,1)))/(INDEX('Konstanten'!$A$6:$A$10,MATCH($I120,'Konstanten'!$A$6:$A$10,1)+1)-INDEX('Konstanten'!$A$6:$A$10,MATCH($I120,'Konstanten'!$A$6:$A$10,1)))*(INDEX('Konstanten'!$C$6:$C$10,MATCH($I120,'Konstanten'!$A$6:$A$10,1)+1)-INDEX('Konstanten'!$C$6:$C$10,MATCH($I120,'Konstanten'!$A$6:$A$10,1))),INDEX('Konstanten'!$C$6:$C$10,MATCH($I120,'Konstanten'!$A$6:$A$10,1))),""))</f>
        <v/>
      </c>
      <c r="Q120" s="63">
        <f>IF(OR($B120="",$N120="",$O120="",$P120=""),"",'Konstanten'!$C$13*$O120*$P120^(1-($J120/1000)/0.075)*'Konstanten'!$C$14^'Konstanten'!$C$16*'Konstanten'!$C$15^'Konstanten'!$C$17*$N120)</f>
        <v/>
      </c>
      <c r="R120" s="64">
        <f>IF(OR($B120="",$Q120=""),"",$E120+$Q120/'Grundeinstellungen'!$J$6)</f>
        <v/>
      </c>
      <c r="S120" s="64">
        <f>IF($B120="","",IFERROR(VLOOKUP($M120,'Konstanten'!$H$6:$I$13,2,FALSE),29))</f>
        <v/>
      </c>
      <c r="T120" s="65">
        <f>IF(OR($B120="",$Q120=""),"",$Q120*$H120)</f>
        <v/>
      </c>
      <c r="U120" s="66">
        <f>IF(OR($B120="",$T120=""),"",$T120-$F120)</f>
        <v/>
      </c>
      <c r="V120" s="67">
        <f>IF(OR($B120="",$T120=""),"",IFERROR($T120/$F120,""))</f>
        <v/>
      </c>
      <c r="W120" s="65">
        <f>IF(OR($B120="",$H120=""),"",'Grundeinstellungen'!$J$13*$H120)</f>
        <v/>
      </c>
      <c r="X120" s="65">
        <f>IF(OR($B120="",$T120=""),"",MIN($T120,$F120)+$W120)</f>
        <v/>
      </c>
      <c r="Y120" s="68">
        <f>IF($B120="","",IFERROR($H120/($J120/1000),""))</f>
        <v/>
      </c>
      <c r="Z120" s="68">
        <f>IF($B120="","",IFERROR(2*$L120*$K120,""))</f>
        <v/>
      </c>
      <c r="AA120" s="68">
        <f>IF(OR($B120="",$Y120="",$Z120=""),"",$Y120+$Z120)</f>
        <v/>
      </c>
      <c r="AB120" s="68">
        <f>IF(OR($B120="",$AA120=""),"",IFERROR($AA120/$K120,""))</f>
        <v/>
      </c>
      <c r="AC120" s="69">
        <f>IF(OR($B120="",$X120=""),"",IFERROR(($X120/$K120)/('Grundeinstellungen'!$C$16*('Grundeinstellungen'!$C$6-'Grundeinstellungen'!$C$7))*3600,""))</f>
        <v/>
      </c>
      <c r="AD120" s="70">
        <f>IF(OR($B120="",$AC120=""),"",$AC120/'Grundeinstellungen'!$C$15*1000)</f>
        <v/>
      </c>
      <c r="AE120" s="71">
        <f>IF(OR($B120="",$AC120=""),"",IFERROR($AC120/3600/'Grundeinstellungen'!$C$15/'Grundeinstellungen'!$J$22,""))</f>
        <v/>
      </c>
      <c r="AF120" s="72">
        <f>IF(OR($B120="",$AE120=""),"",IFERROR($AE120*'Grundeinstellungen'!$J$21/'Grundeinstellungen'!$C$17,""))</f>
        <v/>
      </c>
      <c r="AG120" s="73">
        <f>IF(OR($B120="",$AF120=""),"",IF($AF120&lt;2300,"laminar",IF($AF120&lt;4000,"Übergangsbereich","turbulent")))</f>
        <v/>
      </c>
      <c r="AH120" s="74">
        <f>IF(OR($B120="",$AF120=""),"",IF($AF120&lt;2300,64/$AF120,0.316/$AF120^0.25))</f>
        <v/>
      </c>
      <c r="AI120" s="75">
        <f>IF(OR($B120="",$AH120="",$AB120=""),"",IFERROR($AH120*($AB120/'Grundeinstellungen'!$J$21)*('Grundeinstellungen'!$C$15/2)*$AE120^2,""))</f>
        <v/>
      </c>
      <c r="AJ120" s="76">
        <f>IF(OR($B120="",$AI120="",$AB120=""),"",IFERROR($AI120/$AB120,""))</f>
        <v/>
      </c>
      <c r="AK120" s="75">
        <f>IF(OR($B120="",$AI120=""),"",$AI120*(1+'Grundeinstellungen'!$C$24)+'Grundeinstellungen'!$C$25)</f>
        <v/>
      </c>
    </row>
    <row r="121">
      <c r="A121" s="51" t="n"/>
      <c r="B121" s="51" t="n"/>
      <c r="C121" s="51" t="n"/>
      <c r="D121" s="52" t="n"/>
      <c r="E121" s="53" t="n"/>
      <c r="F121" s="54" t="n"/>
      <c r="G121" s="55">
        <f>IF($B121="","",IFERROR($F121/$D121,""))</f>
        <v/>
      </c>
      <c r="H121" s="52" t="n"/>
      <c r="I121" s="56" t="n"/>
      <c r="J121" s="57" t="n"/>
      <c r="K121" s="58" t="n"/>
      <c r="L121" s="59" t="n"/>
      <c r="M121" s="60" t="n"/>
      <c r="N121" s="61">
        <f>IF($B121="","",IFERROR(('Grundeinstellungen'!$C$6-'Grundeinstellungen'!$C$7)/LN(('Grundeinstellungen'!$C$6-$E121)/('Grundeinstellungen'!$C$7-$E121)),""))</f>
        <v/>
      </c>
      <c r="O121" s="62">
        <f>IF($B121="","",IFERROR(IFERROR(INDEX('Konstanten'!$B$6:$B$10,MATCH($I121,'Konstanten'!$A$6:$A$10,1))+($I121-INDEX('Konstanten'!$A$6:$A$10,MATCH($I121,'Konstanten'!$A$6:$A$10,1)))/(INDEX('Konstanten'!$A$6:$A$10,MATCH($I121,'Konstanten'!$A$6:$A$10,1)+1)-INDEX('Konstanten'!$A$6:$A$10,MATCH($I121,'Konstanten'!$A$6:$A$10,1)))*(INDEX('Konstanten'!$B$6:$B$10,MATCH($I121,'Konstanten'!$A$6:$A$10,1)+1)-INDEX('Konstanten'!$B$6:$B$10,MATCH($I121,'Konstanten'!$A$6:$A$10,1))),INDEX('Konstanten'!$B$6:$B$10,MATCH($I121,'Konstanten'!$A$6:$A$10,1))),""))</f>
        <v/>
      </c>
      <c r="P121" s="62">
        <f>IF($B121="","",IFERROR(IFERROR(INDEX('Konstanten'!$C$6:$C$10,MATCH($I121,'Konstanten'!$A$6:$A$10,1))+($I121-INDEX('Konstanten'!$A$6:$A$10,MATCH($I121,'Konstanten'!$A$6:$A$10,1)))/(INDEX('Konstanten'!$A$6:$A$10,MATCH($I121,'Konstanten'!$A$6:$A$10,1)+1)-INDEX('Konstanten'!$A$6:$A$10,MATCH($I121,'Konstanten'!$A$6:$A$10,1)))*(INDEX('Konstanten'!$C$6:$C$10,MATCH($I121,'Konstanten'!$A$6:$A$10,1)+1)-INDEX('Konstanten'!$C$6:$C$10,MATCH($I121,'Konstanten'!$A$6:$A$10,1))),INDEX('Konstanten'!$C$6:$C$10,MATCH($I121,'Konstanten'!$A$6:$A$10,1))),""))</f>
        <v/>
      </c>
      <c r="Q121" s="63">
        <f>IF(OR($B121="",$N121="",$O121="",$P121=""),"",'Konstanten'!$C$13*$O121*$P121^(1-($J121/1000)/0.075)*'Konstanten'!$C$14^'Konstanten'!$C$16*'Konstanten'!$C$15^'Konstanten'!$C$17*$N121)</f>
        <v/>
      </c>
      <c r="R121" s="64">
        <f>IF(OR($B121="",$Q121=""),"",$E121+$Q121/'Grundeinstellungen'!$J$6)</f>
        <v/>
      </c>
      <c r="S121" s="64">
        <f>IF($B121="","",IFERROR(VLOOKUP($M121,'Konstanten'!$H$6:$I$13,2,FALSE),29))</f>
        <v/>
      </c>
      <c r="T121" s="65">
        <f>IF(OR($B121="",$Q121=""),"",$Q121*$H121)</f>
        <v/>
      </c>
      <c r="U121" s="66">
        <f>IF(OR($B121="",$T121=""),"",$T121-$F121)</f>
        <v/>
      </c>
      <c r="V121" s="67">
        <f>IF(OR($B121="",$T121=""),"",IFERROR($T121/$F121,""))</f>
        <v/>
      </c>
      <c r="W121" s="65">
        <f>IF(OR($B121="",$H121=""),"",'Grundeinstellungen'!$J$13*$H121)</f>
        <v/>
      </c>
      <c r="X121" s="65">
        <f>IF(OR($B121="",$T121=""),"",MIN($T121,$F121)+$W121)</f>
        <v/>
      </c>
      <c r="Y121" s="68">
        <f>IF($B121="","",IFERROR($H121/($J121/1000),""))</f>
        <v/>
      </c>
      <c r="Z121" s="68">
        <f>IF($B121="","",IFERROR(2*$L121*$K121,""))</f>
        <v/>
      </c>
      <c r="AA121" s="68">
        <f>IF(OR($B121="",$Y121="",$Z121=""),"",$Y121+$Z121)</f>
        <v/>
      </c>
      <c r="AB121" s="68">
        <f>IF(OR($B121="",$AA121=""),"",IFERROR($AA121/$K121,""))</f>
        <v/>
      </c>
      <c r="AC121" s="69">
        <f>IF(OR($B121="",$X121=""),"",IFERROR(($X121/$K121)/('Grundeinstellungen'!$C$16*('Grundeinstellungen'!$C$6-'Grundeinstellungen'!$C$7))*3600,""))</f>
        <v/>
      </c>
      <c r="AD121" s="70">
        <f>IF(OR($B121="",$AC121=""),"",$AC121/'Grundeinstellungen'!$C$15*1000)</f>
        <v/>
      </c>
      <c r="AE121" s="71">
        <f>IF(OR($B121="",$AC121=""),"",IFERROR($AC121/3600/'Grundeinstellungen'!$C$15/'Grundeinstellungen'!$J$22,""))</f>
        <v/>
      </c>
      <c r="AF121" s="72">
        <f>IF(OR($B121="",$AE121=""),"",IFERROR($AE121*'Grundeinstellungen'!$J$21/'Grundeinstellungen'!$C$17,""))</f>
        <v/>
      </c>
      <c r="AG121" s="73">
        <f>IF(OR($B121="",$AF121=""),"",IF($AF121&lt;2300,"laminar",IF($AF121&lt;4000,"Übergangsbereich","turbulent")))</f>
        <v/>
      </c>
      <c r="AH121" s="74">
        <f>IF(OR($B121="",$AF121=""),"",IF($AF121&lt;2300,64/$AF121,0.316/$AF121^0.25))</f>
        <v/>
      </c>
      <c r="AI121" s="75">
        <f>IF(OR($B121="",$AH121="",$AB121=""),"",IFERROR($AH121*($AB121/'Grundeinstellungen'!$J$21)*('Grundeinstellungen'!$C$15/2)*$AE121^2,""))</f>
        <v/>
      </c>
      <c r="AJ121" s="76">
        <f>IF(OR($B121="",$AI121="",$AB121=""),"",IFERROR($AI121/$AB121,""))</f>
        <v/>
      </c>
      <c r="AK121" s="75">
        <f>IF(OR($B121="",$AI121=""),"",$AI121*(1+'Grundeinstellungen'!$C$24)+'Grundeinstellungen'!$C$25)</f>
        <v/>
      </c>
    </row>
    <row r="122">
      <c r="A122" s="51" t="n"/>
      <c r="B122" s="51" t="n"/>
      <c r="C122" s="51" t="n"/>
      <c r="D122" s="52" t="n"/>
      <c r="E122" s="53" t="n"/>
      <c r="F122" s="54" t="n"/>
      <c r="G122" s="55">
        <f>IF($B122="","",IFERROR($F122/$D122,""))</f>
        <v/>
      </c>
      <c r="H122" s="52" t="n"/>
      <c r="I122" s="56" t="n"/>
      <c r="J122" s="57" t="n"/>
      <c r="K122" s="58" t="n"/>
      <c r="L122" s="59" t="n"/>
      <c r="M122" s="60" t="n"/>
      <c r="N122" s="61">
        <f>IF($B122="","",IFERROR(('Grundeinstellungen'!$C$6-'Grundeinstellungen'!$C$7)/LN(('Grundeinstellungen'!$C$6-$E122)/('Grundeinstellungen'!$C$7-$E122)),""))</f>
        <v/>
      </c>
      <c r="O122" s="62">
        <f>IF($B122="","",IFERROR(IFERROR(INDEX('Konstanten'!$B$6:$B$10,MATCH($I122,'Konstanten'!$A$6:$A$10,1))+($I122-INDEX('Konstanten'!$A$6:$A$10,MATCH($I122,'Konstanten'!$A$6:$A$10,1)))/(INDEX('Konstanten'!$A$6:$A$10,MATCH($I122,'Konstanten'!$A$6:$A$10,1)+1)-INDEX('Konstanten'!$A$6:$A$10,MATCH($I122,'Konstanten'!$A$6:$A$10,1)))*(INDEX('Konstanten'!$B$6:$B$10,MATCH($I122,'Konstanten'!$A$6:$A$10,1)+1)-INDEX('Konstanten'!$B$6:$B$10,MATCH($I122,'Konstanten'!$A$6:$A$10,1))),INDEX('Konstanten'!$B$6:$B$10,MATCH($I122,'Konstanten'!$A$6:$A$10,1))),""))</f>
        <v/>
      </c>
      <c r="P122" s="62">
        <f>IF($B122="","",IFERROR(IFERROR(INDEX('Konstanten'!$C$6:$C$10,MATCH($I122,'Konstanten'!$A$6:$A$10,1))+($I122-INDEX('Konstanten'!$A$6:$A$10,MATCH($I122,'Konstanten'!$A$6:$A$10,1)))/(INDEX('Konstanten'!$A$6:$A$10,MATCH($I122,'Konstanten'!$A$6:$A$10,1)+1)-INDEX('Konstanten'!$A$6:$A$10,MATCH($I122,'Konstanten'!$A$6:$A$10,1)))*(INDEX('Konstanten'!$C$6:$C$10,MATCH($I122,'Konstanten'!$A$6:$A$10,1)+1)-INDEX('Konstanten'!$C$6:$C$10,MATCH($I122,'Konstanten'!$A$6:$A$10,1))),INDEX('Konstanten'!$C$6:$C$10,MATCH($I122,'Konstanten'!$A$6:$A$10,1))),""))</f>
        <v/>
      </c>
      <c r="Q122" s="63">
        <f>IF(OR($B122="",$N122="",$O122="",$P122=""),"",'Konstanten'!$C$13*$O122*$P122^(1-($J122/1000)/0.075)*'Konstanten'!$C$14^'Konstanten'!$C$16*'Konstanten'!$C$15^'Konstanten'!$C$17*$N122)</f>
        <v/>
      </c>
      <c r="R122" s="64">
        <f>IF(OR($B122="",$Q122=""),"",$E122+$Q122/'Grundeinstellungen'!$J$6)</f>
        <v/>
      </c>
      <c r="S122" s="64">
        <f>IF($B122="","",IFERROR(VLOOKUP($M122,'Konstanten'!$H$6:$I$13,2,FALSE),29))</f>
        <v/>
      </c>
      <c r="T122" s="65">
        <f>IF(OR($B122="",$Q122=""),"",$Q122*$H122)</f>
        <v/>
      </c>
      <c r="U122" s="66">
        <f>IF(OR($B122="",$T122=""),"",$T122-$F122)</f>
        <v/>
      </c>
      <c r="V122" s="67">
        <f>IF(OR($B122="",$T122=""),"",IFERROR($T122/$F122,""))</f>
        <v/>
      </c>
      <c r="W122" s="65">
        <f>IF(OR($B122="",$H122=""),"",'Grundeinstellungen'!$J$13*$H122)</f>
        <v/>
      </c>
      <c r="X122" s="65">
        <f>IF(OR($B122="",$T122=""),"",MIN($T122,$F122)+$W122)</f>
        <v/>
      </c>
      <c r="Y122" s="68">
        <f>IF($B122="","",IFERROR($H122/($J122/1000),""))</f>
        <v/>
      </c>
      <c r="Z122" s="68">
        <f>IF($B122="","",IFERROR(2*$L122*$K122,""))</f>
        <v/>
      </c>
      <c r="AA122" s="68">
        <f>IF(OR($B122="",$Y122="",$Z122=""),"",$Y122+$Z122)</f>
        <v/>
      </c>
      <c r="AB122" s="68">
        <f>IF(OR($B122="",$AA122=""),"",IFERROR($AA122/$K122,""))</f>
        <v/>
      </c>
      <c r="AC122" s="69">
        <f>IF(OR($B122="",$X122=""),"",IFERROR(($X122/$K122)/('Grundeinstellungen'!$C$16*('Grundeinstellungen'!$C$6-'Grundeinstellungen'!$C$7))*3600,""))</f>
        <v/>
      </c>
      <c r="AD122" s="70">
        <f>IF(OR($B122="",$AC122=""),"",$AC122/'Grundeinstellungen'!$C$15*1000)</f>
        <v/>
      </c>
      <c r="AE122" s="71">
        <f>IF(OR($B122="",$AC122=""),"",IFERROR($AC122/3600/'Grundeinstellungen'!$C$15/'Grundeinstellungen'!$J$22,""))</f>
        <v/>
      </c>
      <c r="AF122" s="72">
        <f>IF(OR($B122="",$AE122=""),"",IFERROR($AE122*'Grundeinstellungen'!$J$21/'Grundeinstellungen'!$C$17,""))</f>
        <v/>
      </c>
      <c r="AG122" s="73">
        <f>IF(OR($B122="",$AF122=""),"",IF($AF122&lt;2300,"laminar",IF($AF122&lt;4000,"Übergangsbereich","turbulent")))</f>
        <v/>
      </c>
      <c r="AH122" s="74">
        <f>IF(OR($B122="",$AF122=""),"",IF($AF122&lt;2300,64/$AF122,0.316/$AF122^0.25))</f>
        <v/>
      </c>
      <c r="AI122" s="75">
        <f>IF(OR($B122="",$AH122="",$AB122=""),"",IFERROR($AH122*($AB122/'Grundeinstellungen'!$J$21)*('Grundeinstellungen'!$C$15/2)*$AE122^2,""))</f>
        <v/>
      </c>
      <c r="AJ122" s="76">
        <f>IF(OR($B122="",$AI122="",$AB122=""),"",IFERROR($AI122/$AB122,""))</f>
        <v/>
      </c>
      <c r="AK122" s="75">
        <f>IF(OR($B122="",$AI122=""),"",$AI122*(1+'Grundeinstellungen'!$C$24)+'Grundeinstellungen'!$C$25)</f>
        <v/>
      </c>
    </row>
    <row r="123">
      <c r="A123" s="51" t="n"/>
      <c r="B123" s="51" t="n"/>
      <c r="C123" s="51" t="n"/>
      <c r="D123" s="52" t="n"/>
      <c r="E123" s="53" t="n"/>
      <c r="F123" s="54" t="n"/>
      <c r="G123" s="55">
        <f>IF($B123="","",IFERROR($F123/$D123,""))</f>
        <v/>
      </c>
      <c r="H123" s="52" t="n"/>
      <c r="I123" s="56" t="n"/>
      <c r="J123" s="57" t="n"/>
      <c r="K123" s="58" t="n"/>
      <c r="L123" s="59" t="n"/>
      <c r="M123" s="60" t="n"/>
      <c r="N123" s="61">
        <f>IF($B123="","",IFERROR(('Grundeinstellungen'!$C$6-'Grundeinstellungen'!$C$7)/LN(('Grundeinstellungen'!$C$6-$E123)/('Grundeinstellungen'!$C$7-$E123)),""))</f>
        <v/>
      </c>
      <c r="O123" s="62">
        <f>IF($B123="","",IFERROR(IFERROR(INDEX('Konstanten'!$B$6:$B$10,MATCH($I123,'Konstanten'!$A$6:$A$10,1))+($I123-INDEX('Konstanten'!$A$6:$A$10,MATCH($I123,'Konstanten'!$A$6:$A$10,1)))/(INDEX('Konstanten'!$A$6:$A$10,MATCH($I123,'Konstanten'!$A$6:$A$10,1)+1)-INDEX('Konstanten'!$A$6:$A$10,MATCH($I123,'Konstanten'!$A$6:$A$10,1)))*(INDEX('Konstanten'!$B$6:$B$10,MATCH($I123,'Konstanten'!$A$6:$A$10,1)+1)-INDEX('Konstanten'!$B$6:$B$10,MATCH($I123,'Konstanten'!$A$6:$A$10,1))),INDEX('Konstanten'!$B$6:$B$10,MATCH($I123,'Konstanten'!$A$6:$A$10,1))),""))</f>
        <v/>
      </c>
      <c r="P123" s="62">
        <f>IF($B123="","",IFERROR(IFERROR(INDEX('Konstanten'!$C$6:$C$10,MATCH($I123,'Konstanten'!$A$6:$A$10,1))+($I123-INDEX('Konstanten'!$A$6:$A$10,MATCH($I123,'Konstanten'!$A$6:$A$10,1)))/(INDEX('Konstanten'!$A$6:$A$10,MATCH($I123,'Konstanten'!$A$6:$A$10,1)+1)-INDEX('Konstanten'!$A$6:$A$10,MATCH($I123,'Konstanten'!$A$6:$A$10,1)))*(INDEX('Konstanten'!$C$6:$C$10,MATCH($I123,'Konstanten'!$A$6:$A$10,1)+1)-INDEX('Konstanten'!$C$6:$C$10,MATCH($I123,'Konstanten'!$A$6:$A$10,1))),INDEX('Konstanten'!$C$6:$C$10,MATCH($I123,'Konstanten'!$A$6:$A$10,1))),""))</f>
        <v/>
      </c>
      <c r="Q123" s="63">
        <f>IF(OR($B123="",$N123="",$O123="",$P123=""),"",'Konstanten'!$C$13*$O123*$P123^(1-($J123/1000)/0.075)*'Konstanten'!$C$14^'Konstanten'!$C$16*'Konstanten'!$C$15^'Konstanten'!$C$17*$N123)</f>
        <v/>
      </c>
      <c r="R123" s="64">
        <f>IF(OR($B123="",$Q123=""),"",$E123+$Q123/'Grundeinstellungen'!$J$6)</f>
        <v/>
      </c>
      <c r="S123" s="64">
        <f>IF($B123="","",IFERROR(VLOOKUP($M123,'Konstanten'!$H$6:$I$13,2,FALSE),29))</f>
        <v/>
      </c>
      <c r="T123" s="65">
        <f>IF(OR($B123="",$Q123=""),"",$Q123*$H123)</f>
        <v/>
      </c>
      <c r="U123" s="66">
        <f>IF(OR($B123="",$T123=""),"",$T123-$F123)</f>
        <v/>
      </c>
      <c r="V123" s="67">
        <f>IF(OR($B123="",$T123=""),"",IFERROR($T123/$F123,""))</f>
        <v/>
      </c>
      <c r="W123" s="65">
        <f>IF(OR($B123="",$H123=""),"",'Grundeinstellungen'!$J$13*$H123)</f>
        <v/>
      </c>
      <c r="X123" s="65">
        <f>IF(OR($B123="",$T123=""),"",MIN($T123,$F123)+$W123)</f>
        <v/>
      </c>
      <c r="Y123" s="68">
        <f>IF($B123="","",IFERROR($H123/($J123/1000),""))</f>
        <v/>
      </c>
      <c r="Z123" s="68">
        <f>IF($B123="","",IFERROR(2*$L123*$K123,""))</f>
        <v/>
      </c>
      <c r="AA123" s="68">
        <f>IF(OR($B123="",$Y123="",$Z123=""),"",$Y123+$Z123)</f>
        <v/>
      </c>
      <c r="AB123" s="68">
        <f>IF(OR($B123="",$AA123=""),"",IFERROR($AA123/$K123,""))</f>
        <v/>
      </c>
      <c r="AC123" s="69">
        <f>IF(OR($B123="",$X123=""),"",IFERROR(($X123/$K123)/('Grundeinstellungen'!$C$16*('Grundeinstellungen'!$C$6-'Grundeinstellungen'!$C$7))*3600,""))</f>
        <v/>
      </c>
      <c r="AD123" s="70">
        <f>IF(OR($B123="",$AC123=""),"",$AC123/'Grundeinstellungen'!$C$15*1000)</f>
        <v/>
      </c>
      <c r="AE123" s="71">
        <f>IF(OR($B123="",$AC123=""),"",IFERROR($AC123/3600/'Grundeinstellungen'!$C$15/'Grundeinstellungen'!$J$22,""))</f>
        <v/>
      </c>
      <c r="AF123" s="72">
        <f>IF(OR($B123="",$AE123=""),"",IFERROR($AE123*'Grundeinstellungen'!$J$21/'Grundeinstellungen'!$C$17,""))</f>
        <v/>
      </c>
      <c r="AG123" s="73">
        <f>IF(OR($B123="",$AF123=""),"",IF($AF123&lt;2300,"laminar",IF($AF123&lt;4000,"Übergangsbereich","turbulent")))</f>
        <v/>
      </c>
      <c r="AH123" s="74">
        <f>IF(OR($B123="",$AF123=""),"",IF($AF123&lt;2300,64/$AF123,0.316/$AF123^0.25))</f>
        <v/>
      </c>
      <c r="AI123" s="75">
        <f>IF(OR($B123="",$AH123="",$AB123=""),"",IFERROR($AH123*($AB123/'Grundeinstellungen'!$J$21)*('Grundeinstellungen'!$C$15/2)*$AE123^2,""))</f>
        <v/>
      </c>
      <c r="AJ123" s="76">
        <f>IF(OR($B123="",$AI123="",$AB123=""),"",IFERROR($AI123/$AB123,""))</f>
        <v/>
      </c>
      <c r="AK123" s="75">
        <f>IF(OR($B123="",$AI123=""),"",$AI123*(1+'Grundeinstellungen'!$C$24)+'Grundeinstellungen'!$C$25)</f>
        <v/>
      </c>
    </row>
    <row r="124">
      <c r="A124" s="51" t="n"/>
      <c r="B124" s="51" t="n"/>
      <c r="C124" s="51" t="n"/>
      <c r="D124" s="52" t="n"/>
      <c r="E124" s="53" t="n"/>
      <c r="F124" s="54" t="n"/>
      <c r="G124" s="55">
        <f>IF($B124="","",IFERROR($F124/$D124,""))</f>
        <v/>
      </c>
      <c r="H124" s="52" t="n"/>
      <c r="I124" s="56" t="n"/>
      <c r="J124" s="57" t="n"/>
      <c r="K124" s="58" t="n"/>
      <c r="L124" s="59" t="n"/>
      <c r="M124" s="60" t="n"/>
      <c r="N124" s="61">
        <f>IF($B124="","",IFERROR(('Grundeinstellungen'!$C$6-'Grundeinstellungen'!$C$7)/LN(('Grundeinstellungen'!$C$6-$E124)/('Grundeinstellungen'!$C$7-$E124)),""))</f>
        <v/>
      </c>
      <c r="O124" s="62">
        <f>IF($B124="","",IFERROR(IFERROR(INDEX('Konstanten'!$B$6:$B$10,MATCH($I124,'Konstanten'!$A$6:$A$10,1))+($I124-INDEX('Konstanten'!$A$6:$A$10,MATCH($I124,'Konstanten'!$A$6:$A$10,1)))/(INDEX('Konstanten'!$A$6:$A$10,MATCH($I124,'Konstanten'!$A$6:$A$10,1)+1)-INDEX('Konstanten'!$A$6:$A$10,MATCH($I124,'Konstanten'!$A$6:$A$10,1)))*(INDEX('Konstanten'!$B$6:$B$10,MATCH($I124,'Konstanten'!$A$6:$A$10,1)+1)-INDEX('Konstanten'!$B$6:$B$10,MATCH($I124,'Konstanten'!$A$6:$A$10,1))),INDEX('Konstanten'!$B$6:$B$10,MATCH($I124,'Konstanten'!$A$6:$A$10,1))),""))</f>
        <v/>
      </c>
      <c r="P124" s="62">
        <f>IF($B124="","",IFERROR(IFERROR(INDEX('Konstanten'!$C$6:$C$10,MATCH($I124,'Konstanten'!$A$6:$A$10,1))+($I124-INDEX('Konstanten'!$A$6:$A$10,MATCH($I124,'Konstanten'!$A$6:$A$10,1)))/(INDEX('Konstanten'!$A$6:$A$10,MATCH($I124,'Konstanten'!$A$6:$A$10,1)+1)-INDEX('Konstanten'!$A$6:$A$10,MATCH($I124,'Konstanten'!$A$6:$A$10,1)))*(INDEX('Konstanten'!$C$6:$C$10,MATCH($I124,'Konstanten'!$A$6:$A$10,1)+1)-INDEX('Konstanten'!$C$6:$C$10,MATCH($I124,'Konstanten'!$A$6:$A$10,1))),INDEX('Konstanten'!$C$6:$C$10,MATCH($I124,'Konstanten'!$A$6:$A$10,1))),""))</f>
        <v/>
      </c>
      <c r="Q124" s="63">
        <f>IF(OR($B124="",$N124="",$O124="",$P124=""),"",'Konstanten'!$C$13*$O124*$P124^(1-($J124/1000)/0.075)*'Konstanten'!$C$14^'Konstanten'!$C$16*'Konstanten'!$C$15^'Konstanten'!$C$17*$N124)</f>
        <v/>
      </c>
      <c r="R124" s="64">
        <f>IF(OR($B124="",$Q124=""),"",$E124+$Q124/'Grundeinstellungen'!$J$6)</f>
        <v/>
      </c>
      <c r="S124" s="64">
        <f>IF($B124="","",IFERROR(VLOOKUP($M124,'Konstanten'!$H$6:$I$13,2,FALSE),29))</f>
        <v/>
      </c>
      <c r="T124" s="65">
        <f>IF(OR($B124="",$Q124=""),"",$Q124*$H124)</f>
        <v/>
      </c>
      <c r="U124" s="66">
        <f>IF(OR($B124="",$T124=""),"",$T124-$F124)</f>
        <v/>
      </c>
      <c r="V124" s="67">
        <f>IF(OR($B124="",$T124=""),"",IFERROR($T124/$F124,""))</f>
        <v/>
      </c>
      <c r="W124" s="65">
        <f>IF(OR($B124="",$H124=""),"",'Grundeinstellungen'!$J$13*$H124)</f>
        <v/>
      </c>
      <c r="X124" s="65">
        <f>IF(OR($B124="",$T124=""),"",MIN($T124,$F124)+$W124)</f>
        <v/>
      </c>
      <c r="Y124" s="68">
        <f>IF($B124="","",IFERROR($H124/($J124/1000),""))</f>
        <v/>
      </c>
      <c r="Z124" s="68">
        <f>IF($B124="","",IFERROR(2*$L124*$K124,""))</f>
        <v/>
      </c>
      <c r="AA124" s="68">
        <f>IF(OR($B124="",$Y124="",$Z124=""),"",$Y124+$Z124)</f>
        <v/>
      </c>
      <c r="AB124" s="68">
        <f>IF(OR($B124="",$AA124=""),"",IFERROR($AA124/$K124,""))</f>
        <v/>
      </c>
      <c r="AC124" s="69">
        <f>IF(OR($B124="",$X124=""),"",IFERROR(($X124/$K124)/('Grundeinstellungen'!$C$16*('Grundeinstellungen'!$C$6-'Grundeinstellungen'!$C$7))*3600,""))</f>
        <v/>
      </c>
      <c r="AD124" s="70">
        <f>IF(OR($B124="",$AC124=""),"",$AC124/'Grundeinstellungen'!$C$15*1000)</f>
        <v/>
      </c>
      <c r="AE124" s="71">
        <f>IF(OR($B124="",$AC124=""),"",IFERROR($AC124/3600/'Grundeinstellungen'!$C$15/'Grundeinstellungen'!$J$22,""))</f>
        <v/>
      </c>
      <c r="AF124" s="72">
        <f>IF(OR($B124="",$AE124=""),"",IFERROR($AE124*'Grundeinstellungen'!$J$21/'Grundeinstellungen'!$C$17,""))</f>
        <v/>
      </c>
      <c r="AG124" s="73">
        <f>IF(OR($B124="",$AF124=""),"",IF($AF124&lt;2300,"laminar",IF($AF124&lt;4000,"Übergangsbereich","turbulent")))</f>
        <v/>
      </c>
      <c r="AH124" s="74">
        <f>IF(OR($B124="",$AF124=""),"",IF($AF124&lt;2300,64/$AF124,0.316/$AF124^0.25))</f>
        <v/>
      </c>
      <c r="AI124" s="75">
        <f>IF(OR($B124="",$AH124="",$AB124=""),"",IFERROR($AH124*($AB124/'Grundeinstellungen'!$J$21)*('Grundeinstellungen'!$C$15/2)*$AE124^2,""))</f>
        <v/>
      </c>
      <c r="AJ124" s="76">
        <f>IF(OR($B124="",$AI124="",$AB124=""),"",IFERROR($AI124/$AB124,""))</f>
        <v/>
      </c>
      <c r="AK124" s="75">
        <f>IF(OR($B124="",$AI124=""),"",$AI124*(1+'Grundeinstellungen'!$C$24)+'Grundeinstellungen'!$C$25)</f>
        <v/>
      </c>
    </row>
    <row r="125">
      <c r="A125" s="51" t="n"/>
      <c r="B125" s="51" t="n"/>
      <c r="C125" s="51" t="n"/>
      <c r="D125" s="52" t="n"/>
      <c r="E125" s="53" t="n"/>
      <c r="F125" s="54" t="n"/>
      <c r="G125" s="55">
        <f>IF($B125="","",IFERROR($F125/$D125,""))</f>
        <v/>
      </c>
      <c r="H125" s="52" t="n"/>
      <c r="I125" s="56" t="n"/>
      <c r="J125" s="57" t="n"/>
      <c r="K125" s="58" t="n"/>
      <c r="L125" s="59" t="n"/>
      <c r="M125" s="60" t="n"/>
      <c r="N125" s="61">
        <f>IF($B125="","",IFERROR(('Grundeinstellungen'!$C$6-'Grundeinstellungen'!$C$7)/LN(('Grundeinstellungen'!$C$6-$E125)/('Grundeinstellungen'!$C$7-$E125)),""))</f>
        <v/>
      </c>
      <c r="O125" s="62">
        <f>IF($B125="","",IFERROR(IFERROR(INDEX('Konstanten'!$B$6:$B$10,MATCH($I125,'Konstanten'!$A$6:$A$10,1))+($I125-INDEX('Konstanten'!$A$6:$A$10,MATCH($I125,'Konstanten'!$A$6:$A$10,1)))/(INDEX('Konstanten'!$A$6:$A$10,MATCH($I125,'Konstanten'!$A$6:$A$10,1)+1)-INDEX('Konstanten'!$A$6:$A$10,MATCH($I125,'Konstanten'!$A$6:$A$10,1)))*(INDEX('Konstanten'!$B$6:$B$10,MATCH($I125,'Konstanten'!$A$6:$A$10,1)+1)-INDEX('Konstanten'!$B$6:$B$10,MATCH($I125,'Konstanten'!$A$6:$A$10,1))),INDEX('Konstanten'!$B$6:$B$10,MATCH($I125,'Konstanten'!$A$6:$A$10,1))),""))</f>
        <v/>
      </c>
      <c r="P125" s="62">
        <f>IF($B125="","",IFERROR(IFERROR(INDEX('Konstanten'!$C$6:$C$10,MATCH($I125,'Konstanten'!$A$6:$A$10,1))+($I125-INDEX('Konstanten'!$A$6:$A$10,MATCH($I125,'Konstanten'!$A$6:$A$10,1)))/(INDEX('Konstanten'!$A$6:$A$10,MATCH($I125,'Konstanten'!$A$6:$A$10,1)+1)-INDEX('Konstanten'!$A$6:$A$10,MATCH($I125,'Konstanten'!$A$6:$A$10,1)))*(INDEX('Konstanten'!$C$6:$C$10,MATCH($I125,'Konstanten'!$A$6:$A$10,1)+1)-INDEX('Konstanten'!$C$6:$C$10,MATCH($I125,'Konstanten'!$A$6:$A$10,1))),INDEX('Konstanten'!$C$6:$C$10,MATCH($I125,'Konstanten'!$A$6:$A$10,1))),""))</f>
        <v/>
      </c>
      <c r="Q125" s="63">
        <f>IF(OR($B125="",$N125="",$O125="",$P125=""),"",'Konstanten'!$C$13*$O125*$P125^(1-($J125/1000)/0.075)*'Konstanten'!$C$14^'Konstanten'!$C$16*'Konstanten'!$C$15^'Konstanten'!$C$17*$N125)</f>
        <v/>
      </c>
      <c r="R125" s="64">
        <f>IF(OR($B125="",$Q125=""),"",$E125+$Q125/'Grundeinstellungen'!$J$6)</f>
        <v/>
      </c>
      <c r="S125" s="64">
        <f>IF($B125="","",IFERROR(VLOOKUP($M125,'Konstanten'!$H$6:$I$13,2,FALSE),29))</f>
        <v/>
      </c>
      <c r="T125" s="65">
        <f>IF(OR($B125="",$Q125=""),"",$Q125*$H125)</f>
        <v/>
      </c>
      <c r="U125" s="66">
        <f>IF(OR($B125="",$T125=""),"",$T125-$F125)</f>
        <v/>
      </c>
      <c r="V125" s="67">
        <f>IF(OR($B125="",$T125=""),"",IFERROR($T125/$F125,""))</f>
        <v/>
      </c>
      <c r="W125" s="65">
        <f>IF(OR($B125="",$H125=""),"",'Grundeinstellungen'!$J$13*$H125)</f>
        <v/>
      </c>
      <c r="X125" s="65">
        <f>IF(OR($B125="",$T125=""),"",MIN($T125,$F125)+$W125)</f>
        <v/>
      </c>
      <c r="Y125" s="68">
        <f>IF($B125="","",IFERROR($H125/($J125/1000),""))</f>
        <v/>
      </c>
      <c r="Z125" s="68">
        <f>IF($B125="","",IFERROR(2*$L125*$K125,""))</f>
        <v/>
      </c>
      <c r="AA125" s="68">
        <f>IF(OR($B125="",$Y125="",$Z125=""),"",$Y125+$Z125)</f>
        <v/>
      </c>
      <c r="AB125" s="68">
        <f>IF(OR($B125="",$AA125=""),"",IFERROR($AA125/$K125,""))</f>
        <v/>
      </c>
      <c r="AC125" s="69">
        <f>IF(OR($B125="",$X125=""),"",IFERROR(($X125/$K125)/('Grundeinstellungen'!$C$16*('Grundeinstellungen'!$C$6-'Grundeinstellungen'!$C$7))*3600,""))</f>
        <v/>
      </c>
      <c r="AD125" s="70">
        <f>IF(OR($B125="",$AC125=""),"",$AC125/'Grundeinstellungen'!$C$15*1000)</f>
        <v/>
      </c>
      <c r="AE125" s="71">
        <f>IF(OR($B125="",$AC125=""),"",IFERROR($AC125/3600/'Grundeinstellungen'!$C$15/'Grundeinstellungen'!$J$22,""))</f>
        <v/>
      </c>
      <c r="AF125" s="72">
        <f>IF(OR($B125="",$AE125=""),"",IFERROR($AE125*'Grundeinstellungen'!$J$21/'Grundeinstellungen'!$C$17,""))</f>
        <v/>
      </c>
      <c r="AG125" s="73">
        <f>IF(OR($B125="",$AF125=""),"",IF($AF125&lt;2300,"laminar",IF($AF125&lt;4000,"Übergangsbereich","turbulent")))</f>
        <v/>
      </c>
      <c r="AH125" s="74">
        <f>IF(OR($B125="",$AF125=""),"",IF($AF125&lt;2300,64/$AF125,0.316/$AF125^0.25))</f>
        <v/>
      </c>
      <c r="AI125" s="75">
        <f>IF(OR($B125="",$AH125="",$AB125=""),"",IFERROR($AH125*($AB125/'Grundeinstellungen'!$J$21)*('Grundeinstellungen'!$C$15/2)*$AE125^2,""))</f>
        <v/>
      </c>
      <c r="AJ125" s="76">
        <f>IF(OR($B125="",$AI125="",$AB125=""),"",IFERROR($AI125/$AB125,""))</f>
        <v/>
      </c>
      <c r="AK125" s="75">
        <f>IF(OR($B125="",$AI125=""),"",$AI125*(1+'Grundeinstellungen'!$C$24)+'Grundeinstellungen'!$C$25)</f>
        <v/>
      </c>
    </row>
    <row r="126">
      <c r="A126" s="51" t="n"/>
      <c r="B126" s="51" t="n"/>
      <c r="C126" s="51" t="n"/>
      <c r="D126" s="52" t="n"/>
      <c r="E126" s="53" t="n"/>
      <c r="F126" s="54" t="n"/>
      <c r="G126" s="55">
        <f>IF($B126="","",IFERROR($F126/$D126,""))</f>
        <v/>
      </c>
      <c r="H126" s="52" t="n"/>
      <c r="I126" s="56" t="n"/>
      <c r="J126" s="57" t="n"/>
      <c r="K126" s="58" t="n"/>
      <c r="L126" s="59" t="n"/>
      <c r="M126" s="60" t="n"/>
      <c r="N126" s="61">
        <f>IF($B126="","",IFERROR(('Grundeinstellungen'!$C$6-'Grundeinstellungen'!$C$7)/LN(('Grundeinstellungen'!$C$6-$E126)/('Grundeinstellungen'!$C$7-$E126)),""))</f>
        <v/>
      </c>
      <c r="O126" s="62">
        <f>IF($B126="","",IFERROR(IFERROR(INDEX('Konstanten'!$B$6:$B$10,MATCH($I126,'Konstanten'!$A$6:$A$10,1))+($I126-INDEX('Konstanten'!$A$6:$A$10,MATCH($I126,'Konstanten'!$A$6:$A$10,1)))/(INDEX('Konstanten'!$A$6:$A$10,MATCH($I126,'Konstanten'!$A$6:$A$10,1)+1)-INDEX('Konstanten'!$A$6:$A$10,MATCH($I126,'Konstanten'!$A$6:$A$10,1)))*(INDEX('Konstanten'!$B$6:$B$10,MATCH($I126,'Konstanten'!$A$6:$A$10,1)+1)-INDEX('Konstanten'!$B$6:$B$10,MATCH($I126,'Konstanten'!$A$6:$A$10,1))),INDEX('Konstanten'!$B$6:$B$10,MATCH($I126,'Konstanten'!$A$6:$A$10,1))),""))</f>
        <v/>
      </c>
      <c r="P126" s="62">
        <f>IF($B126="","",IFERROR(IFERROR(INDEX('Konstanten'!$C$6:$C$10,MATCH($I126,'Konstanten'!$A$6:$A$10,1))+($I126-INDEX('Konstanten'!$A$6:$A$10,MATCH($I126,'Konstanten'!$A$6:$A$10,1)))/(INDEX('Konstanten'!$A$6:$A$10,MATCH($I126,'Konstanten'!$A$6:$A$10,1)+1)-INDEX('Konstanten'!$A$6:$A$10,MATCH($I126,'Konstanten'!$A$6:$A$10,1)))*(INDEX('Konstanten'!$C$6:$C$10,MATCH($I126,'Konstanten'!$A$6:$A$10,1)+1)-INDEX('Konstanten'!$C$6:$C$10,MATCH($I126,'Konstanten'!$A$6:$A$10,1))),INDEX('Konstanten'!$C$6:$C$10,MATCH($I126,'Konstanten'!$A$6:$A$10,1))),""))</f>
        <v/>
      </c>
      <c r="Q126" s="63">
        <f>IF(OR($B126="",$N126="",$O126="",$P126=""),"",'Konstanten'!$C$13*$O126*$P126^(1-($J126/1000)/0.075)*'Konstanten'!$C$14^'Konstanten'!$C$16*'Konstanten'!$C$15^'Konstanten'!$C$17*$N126)</f>
        <v/>
      </c>
      <c r="R126" s="64">
        <f>IF(OR($B126="",$Q126=""),"",$E126+$Q126/'Grundeinstellungen'!$J$6)</f>
        <v/>
      </c>
      <c r="S126" s="64">
        <f>IF($B126="","",IFERROR(VLOOKUP($M126,'Konstanten'!$H$6:$I$13,2,FALSE),29))</f>
        <v/>
      </c>
      <c r="T126" s="65">
        <f>IF(OR($B126="",$Q126=""),"",$Q126*$H126)</f>
        <v/>
      </c>
      <c r="U126" s="66">
        <f>IF(OR($B126="",$T126=""),"",$T126-$F126)</f>
        <v/>
      </c>
      <c r="V126" s="67">
        <f>IF(OR($B126="",$T126=""),"",IFERROR($T126/$F126,""))</f>
        <v/>
      </c>
      <c r="W126" s="65">
        <f>IF(OR($B126="",$H126=""),"",'Grundeinstellungen'!$J$13*$H126)</f>
        <v/>
      </c>
      <c r="X126" s="65">
        <f>IF(OR($B126="",$T126=""),"",MIN($T126,$F126)+$W126)</f>
        <v/>
      </c>
      <c r="Y126" s="68">
        <f>IF($B126="","",IFERROR($H126/($J126/1000),""))</f>
        <v/>
      </c>
      <c r="Z126" s="68">
        <f>IF($B126="","",IFERROR(2*$L126*$K126,""))</f>
        <v/>
      </c>
      <c r="AA126" s="68">
        <f>IF(OR($B126="",$Y126="",$Z126=""),"",$Y126+$Z126)</f>
        <v/>
      </c>
      <c r="AB126" s="68">
        <f>IF(OR($B126="",$AA126=""),"",IFERROR($AA126/$K126,""))</f>
        <v/>
      </c>
      <c r="AC126" s="69">
        <f>IF(OR($B126="",$X126=""),"",IFERROR(($X126/$K126)/('Grundeinstellungen'!$C$16*('Grundeinstellungen'!$C$6-'Grundeinstellungen'!$C$7))*3600,""))</f>
        <v/>
      </c>
      <c r="AD126" s="70">
        <f>IF(OR($B126="",$AC126=""),"",$AC126/'Grundeinstellungen'!$C$15*1000)</f>
        <v/>
      </c>
      <c r="AE126" s="71">
        <f>IF(OR($B126="",$AC126=""),"",IFERROR($AC126/3600/'Grundeinstellungen'!$C$15/'Grundeinstellungen'!$J$22,""))</f>
        <v/>
      </c>
      <c r="AF126" s="72">
        <f>IF(OR($B126="",$AE126=""),"",IFERROR($AE126*'Grundeinstellungen'!$J$21/'Grundeinstellungen'!$C$17,""))</f>
        <v/>
      </c>
      <c r="AG126" s="73">
        <f>IF(OR($B126="",$AF126=""),"",IF($AF126&lt;2300,"laminar",IF($AF126&lt;4000,"Übergangsbereich","turbulent")))</f>
        <v/>
      </c>
      <c r="AH126" s="74">
        <f>IF(OR($B126="",$AF126=""),"",IF($AF126&lt;2300,64/$AF126,0.316/$AF126^0.25))</f>
        <v/>
      </c>
      <c r="AI126" s="75">
        <f>IF(OR($B126="",$AH126="",$AB126=""),"",IFERROR($AH126*($AB126/'Grundeinstellungen'!$J$21)*('Grundeinstellungen'!$C$15/2)*$AE126^2,""))</f>
        <v/>
      </c>
      <c r="AJ126" s="76">
        <f>IF(OR($B126="",$AI126="",$AB126=""),"",IFERROR($AI126/$AB126,""))</f>
        <v/>
      </c>
      <c r="AK126" s="75">
        <f>IF(OR($B126="",$AI126=""),"",$AI126*(1+'Grundeinstellungen'!$C$24)+'Grundeinstellungen'!$C$25)</f>
        <v/>
      </c>
    </row>
    <row r="127">
      <c r="A127" s="51" t="n"/>
      <c r="B127" s="51" t="n"/>
      <c r="C127" s="51" t="n"/>
      <c r="D127" s="52" t="n"/>
      <c r="E127" s="53" t="n"/>
      <c r="F127" s="54" t="n"/>
      <c r="G127" s="55">
        <f>IF($B127="","",IFERROR($F127/$D127,""))</f>
        <v/>
      </c>
      <c r="H127" s="52" t="n"/>
      <c r="I127" s="56" t="n"/>
      <c r="J127" s="57" t="n"/>
      <c r="K127" s="58" t="n"/>
      <c r="L127" s="59" t="n"/>
      <c r="M127" s="60" t="n"/>
      <c r="N127" s="61">
        <f>IF($B127="","",IFERROR(('Grundeinstellungen'!$C$6-'Grundeinstellungen'!$C$7)/LN(('Grundeinstellungen'!$C$6-$E127)/('Grundeinstellungen'!$C$7-$E127)),""))</f>
        <v/>
      </c>
      <c r="O127" s="62">
        <f>IF($B127="","",IFERROR(IFERROR(INDEX('Konstanten'!$B$6:$B$10,MATCH($I127,'Konstanten'!$A$6:$A$10,1))+($I127-INDEX('Konstanten'!$A$6:$A$10,MATCH($I127,'Konstanten'!$A$6:$A$10,1)))/(INDEX('Konstanten'!$A$6:$A$10,MATCH($I127,'Konstanten'!$A$6:$A$10,1)+1)-INDEX('Konstanten'!$A$6:$A$10,MATCH($I127,'Konstanten'!$A$6:$A$10,1)))*(INDEX('Konstanten'!$B$6:$B$10,MATCH($I127,'Konstanten'!$A$6:$A$10,1)+1)-INDEX('Konstanten'!$B$6:$B$10,MATCH($I127,'Konstanten'!$A$6:$A$10,1))),INDEX('Konstanten'!$B$6:$B$10,MATCH($I127,'Konstanten'!$A$6:$A$10,1))),""))</f>
        <v/>
      </c>
      <c r="P127" s="62">
        <f>IF($B127="","",IFERROR(IFERROR(INDEX('Konstanten'!$C$6:$C$10,MATCH($I127,'Konstanten'!$A$6:$A$10,1))+($I127-INDEX('Konstanten'!$A$6:$A$10,MATCH($I127,'Konstanten'!$A$6:$A$10,1)))/(INDEX('Konstanten'!$A$6:$A$10,MATCH($I127,'Konstanten'!$A$6:$A$10,1)+1)-INDEX('Konstanten'!$A$6:$A$10,MATCH($I127,'Konstanten'!$A$6:$A$10,1)))*(INDEX('Konstanten'!$C$6:$C$10,MATCH($I127,'Konstanten'!$A$6:$A$10,1)+1)-INDEX('Konstanten'!$C$6:$C$10,MATCH($I127,'Konstanten'!$A$6:$A$10,1))),INDEX('Konstanten'!$C$6:$C$10,MATCH($I127,'Konstanten'!$A$6:$A$10,1))),""))</f>
        <v/>
      </c>
      <c r="Q127" s="63">
        <f>IF(OR($B127="",$N127="",$O127="",$P127=""),"",'Konstanten'!$C$13*$O127*$P127^(1-($J127/1000)/0.075)*'Konstanten'!$C$14^'Konstanten'!$C$16*'Konstanten'!$C$15^'Konstanten'!$C$17*$N127)</f>
        <v/>
      </c>
      <c r="R127" s="64">
        <f>IF(OR($B127="",$Q127=""),"",$E127+$Q127/'Grundeinstellungen'!$J$6)</f>
        <v/>
      </c>
      <c r="S127" s="64">
        <f>IF($B127="","",IFERROR(VLOOKUP($M127,'Konstanten'!$H$6:$I$13,2,FALSE),29))</f>
        <v/>
      </c>
      <c r="T127" s="65">
        <f>IF(OR($B127="",$Q127=""),"",$Q127*$H127)</f>
        <v/>
      </c>
      <c r="U127" s="66">
        <f>IF(OR($B127="",$T127=""),"",$T127-$F127)</f>
        <v/>
      </c>
      <c r="V127" s="67">
        <f>IF(OR($B127="",$T127=""),"",IFERROR($T127/$F127,""))</f>
        <v/>
      </c>
      <c r="W127" s="65">
        <f>IF(OR($B127="",$H127=""),"",'Grundeinstellungen'!$J$13*$H127)</f>
        <v/>
      </c>
      <c r="X127" s="65">
        <f>IF(OR($B127="",$T127=""),"",MIN($T127,$F127)+$W127)</f>
        <v/>
      </c>
      <c r="Y127" s="68">
        <f>IF($B127="","",IFERROR($H127/($J127/1000),""))</f>
        <v/>
      </c>
      <c r="Z127" s="68">
        <f>IF($B127="","",IFERROR(2*$L127*$K127,""))</f>
        <v/>
      </c>
      <c r="AA127" s="68">
        <f>IF(OR($B127="",$Y127="",$Z127=""),"",$Y127+$Z127)</f>
        <v/>
      </c>
      <c r="AB127" s="68">
        <f>IF(OR($B127="",$AA127=""),"",IFERROR($AA127/$K127,""))</f>
        <v/>
      </c>
      <c r="AC127" s="69">
        <f>IF(OR($B127="",$X127=""),"",IFERROR(($X127/$K127)/('Grundeinstellungen'!$C$16*('Grundeinstellungen'!$C$6-'Grundeinstellungen'!$C$7))*3600,""))</f>
        <v/>
      </c>
      <c r="AD127" s="70">
        <f>IF(OR($B127="",$AC127=""),"",$AC127/'Grundeinstellungen'!$C$15*1000)</f>
        <v/>
      </c>
      <c r="AE127" s="71">
        <f>IF(OR($B127="",$AC127=""),"",IFERROR($AC127/3600/'Grundeinstellungen'!$C$15/'Grundeinstellungen'!$J$22,""))</f>
        <v/>
      </c>
      <c r="AF127" s="72">
        <f>IF(OR($B127="",$AE127=""),"",IFERROR($AE127*'Grundeinstellungen'!$J$21/'Grundeinstellungen'!$C$17,""))</f>
        <v/>
      </c>
      <c r="AG127" s="73">
        <f>IF(OR($B127="",$AF127=""),"",IF($AF127&lt;2300,"laminar",IF($AF127&lt;4000,"Übergangsbereich","turbulent")))</f>
        <v/>
      </c>
      <c r="AH127" s="74">
        <f>IF(OR($B127="",$AF127=""),"",IF($AF127&lt;2300,64/$AF127,0.316/$AF127^0.25))</f>
        <v/>
      </c>
      <c r="AI127" s="75">
        <f>IF(OR($B127="",$AH127="",$AB127=""),"",IFERROR($AH127*($AB127/'Grundeinstellungen'!$J$21)*('Grundeinstellungen'!$C$15/2)*$AE127^2,""))</f>
        <v/>
      </c>
      <c r="AJ127" s="76">
        <f>IF(OR($B127="",$AI127="",$AB127=""),"",IFERROR($AI127/$AB127,""))</f>
        <v/>
      </c>
      <c r="AK127" s="75">
        <f>IF(OR($B127="",$AI127=""),"",$AI127*(1+'Grundeinstellungen'!$C$24)+'Grundeinstellungen'!$C$25)</f>
        <v/>
      </c>
    </row>
    <row r="128">
      <c r="A128" s="51" t="n"/>
      <c r="B128" s="51" t="n"/>
      <c r="C128" s="51" t="n"/>
      <c r="D128" s="52" t="n"/>
      <c r="E128" s="53" t="n"/>
      <c r="F128" s="54" t="n"/>
      <c r="G128" s="55">
        <f>IF($B128="","",IFERROR($F128/$D128,""))</f>
        <v/>
      </c>
      <c r="H128" s="52" t="n"/>
      <c r="I128" s="56" t="n"/>
      <c r="J128" s="57" t="n"/>
      <c r="K128" s="58" t="n"/>
      <c r="L128" s="59" t="n"/>
      <c r="M128" s="60" t="n"/>
      <c r="N128" s="61">
        <f>IF($B128="","",IFERROR(('Grundeinstellungen'!$C$6-'Grundeinstellungen'!$C$7)/LN(('Grundeinstellungen'!$C$6-$E128)/('Grundeinstellungen'!$C$7-$E128)),""))</f>
        <v/>
      </c>
      <c r="O128" s="62">
        <f>IF($B128="","",IFERROR(IFERROR(INDEX('Konstanten'!$B$6:$B$10,MATCH($I128,'Konstanten'!$A$6:$A$10,1))+($I128-INDEX('Konstanten'!$A$6:$A$10,MATCH($I128,'Konstanten'!$A$6:$A$10,1)))/(INDEX('Konstanten'!$A$6:$A$10,MATCH($I128,'Konstanten'!$A$6:$A$10,1)+1)-INDEX('Konstanten'!$A$6:$A$10,MATCH($I128,'Konstanten'!$A$6:$A$10,1)))*(INDEX('Konstanten'!$B$6:$B$10,MATCH($I128,'Konstanten'!$A$6:$A$10,1)+1)-INDEX('Konstanten'!$B$6:$B$10,MATCH($I128,'Konstanten'!$A$6:$A$10,1))),INDEX('Konstanten'!$B$6:$B$10,MATCH($I128,'Konstanten'!$A$6:$A$10,1))),""))</f>
        <v/>
      </c>
      <c r="P128" s="62">
        <f>IF($B128="","",IFERROR(IFERROR(INDEX('Konstanten'!$C$6:$C$10,MATCH($I128,'Konstanten'!$A$6:$A$10,1))+($I128-INDEX('Konstanten'!$A$6:$A$10,MATCH($I128,'Konstanten'!$A$6:$A$10,1)))/(INDEX('Konstanten'!$A$6:$A$10,MATCH($I128,'Konstanten'!$A$6:$A$10,1)+1)-INDEX('Konstanten'!$A$6:$A$10,MATCH($I128,'Konstanten'!$A$6:$A$10,1)))*(INDEX('Konstanten'!$C$6:$C$10,MATCH($I128,'Konstanten'!$A$6:$A$10,1)+1)-INDEX('Konstanten'!$C$6:$C$10,MATCH($I128,'Konstanten'!$A$6:$A$10,1))),INDEX('Konstanten'!$C$6:$C$10,MATCH($I128,'Konstanten'!$A$6:$A$10,1))),""))</f>
        <v/>
      </c>
      <c r="Q128" s="63">
        <f>IF(OR($B128="",$N128="",$O128="",$P128=""),"",'Konstanten'!$C$13*$O128*$P128^(1-($J128/1000)/0.075)*'Konstanten'!$C$14^'Konstanten'!$C$16*'Konstanten'!$C$15^'Konstanten'!$C$17*$N128)</f>
        <v/>
      </c>
      <c r="R128" s="64">
        <f>IF(OR($B128="",$Q128=""),"",$E128+$Q128/'Grundeinstellungen'!$J$6)</f>
        <v/>
      </c>
      <c r="S128" s="64">
        <f>IF($B128="","",IFERROR(VLOOKUP($M128,'Konstanten'!$H$6:$I$13,2,FALSE),29))</f>
        <v/>
      </c>
      <c r="T128" s="65">
        <f>IF(OR($B128="",$Q128=""),"",$Q128*$H128)</f>
        <v/>
      </c>
      <c r="U128" s="66">
        <f>IF(OR($B128="",$T128=""),"",$T128-$F128)</f>
        <v/>
      </c>
      <c r="V128" s="67">
        <f>IF(OR($B128="",$T128=""),"",IFERROR($T128/$F128,""))</f>
        <v/>
      </c>
      <c r="W128" s="65">
        <f>IF(OR($B128="",$H128=""),"",'Grundeinstellungen'!$J$13*$H128)</f>
        <v/>
      </c>
      <c r="X128" s="65">
        <f>IF(OR($B128="",$T128=""),"",MIN($T128,$F128)+$W128)</f>
        <v/>
      </c>
      <c r="Y128" s="68">
        <f>IF($B128="","",IFERROR($H128/($J128/1000),""))</f>
        <v/>
      </c>
      <c r="Z128" s="68">
        <f>IF($B128="","",IFERROR(2*$L128*$K128,""))</f>
        <v/>
      </c>
      <c r="AA128" s="68">
        <f>IF(OR($B128="",$Y128="",$Z128=""),"",$Y128+$Z128)</f>
        <v/>
      </c>
      <c r="AB128" s="68">
        <f>IF(OR($B128="",$AA128=""),"",IFERROR($AA128/$K128,""))</f>
        <v/>
      </c>
      <c r="AC128" s="69">
        <f>IF(OR($B128="",$X128=""),"",IFERROR(($X128/$K128)/('Grundeinstellungen'!$C$16*('Grundeinstellungen'!$C$6-'Grundeinstellungen'!$C$7))*3600,""))</f>
        <v/>
      </c>
      <c r="AD128" s="70">
        <f>IF(OR($B128="",$AC128=""),"",$AC128/'Grundeinstellungen'!$C$15*1000)</f>
        <v/>
      </c>
      <c r="AE128" s="71">
        <f>IF(OR($B128="",$AC128=""),"",IFERROR($AC128/3600/'Grundeinstellungen'!$C$15/'Grundeinstellungen'!$J$22,""))</f>
        <v/>
      </c>
      <c r="AF128" s="72">
        <f>IF(OR($B128="",$AE128=""),"",IFERROR($AE128*'Grundeinstellungen'!$J$21/'Grundeinstellungen'!$C$17,""))</f>
        <v/>
      </c>
      <c r="AG128" s="73">
        <f>IF(OR($B128="",$AF128=""),"",IF($AF128&lt;2300,"laminar",IF($AF128&lt;4000,"Übergangsbereich","turbulent")))</f>
        <v/>
      </c>
      <c r="AH128" s="74">
        <f>IF(OR($B128="",$AF128=""),"",IF($AF128&lt;2300,64/$AF128,0.316/$AF128^0.25))</f>
        <v/>
      </c>
      <c r="AI128" s="75">
        <f>IF(OR($B128="",$AH128="",$AB128=""),"",IFERROR($AH128*($AB128/'Grundeinstellungen'!$J$21)*('Grundeinstellungen'!$C$15/2)*$AE128^2,""))</f>
        <v/>
      </c>
      <c r="AJ128" s="76">
        <f>IF(OR($B128="",$AI128="",$AB128=""),"",IFERROR($AI128/$AB128,""))</f>
        <v/>
      </c>
      <c r="AK128" s="75">
        <f>IF(OR($B128="",$AI128=""),"",$AI128*(1+'Grundeinstellungen'!$C$24)+'Grundeinstellungen'!$C$25)</f>
        <v/>
      </c>
    </row>
    <row r="129">
      <c r="A129" s="51" t="n"/>
      <c r="B129" s="51" t="n"/>
      <c r="C129" s="51" t="n"/>
      <c r="D129" s="52" t="n"/>
      <c r="E129" s="53" t="n"/>
      <c r="F129" s="54" t="n"/>
      <c r="G129" s="55">
        <f>IF($B129="","",IFERROR($F129/$D129,""))</f>
        <v/>
      </c>
      <c r="H129" s="52" t="n"/>
      <c r="I129" s="56" t="n"/>
      <c r="J129" s="57" t="n"/>
      <c r="K129" s="58" t="n"/>
      <c r="L129" s="59" t="n"/>
      <c r="M129" s="60" t="n"/>
      <c r="N129" s="61">
        <f>IF($B129="","",IFERROR(('Grundeinstellungen'!$C$6-'Grundeinstellungen'!$C$7)/LN(('Grundeinstellungen'!$C$6-$E129)/('Grundeinstellungen'!$C$7-$E129)),""))</f>
        <v/>
      </c>
      <c r="O129" s="62">
        <f>IF($B129="","",IFERROR(IFERROR(INDEX('Konstanten'!$B$6:$B$10,MATCH($I129,'Konstanten'!$A$6:$A$10,1))+($I129-INDEX('Konstanten'!$A$6:$A$10,MATCH($I129,'Konstanten'!$A$6:$A$10,1)))/(INDEX('Konstanten'!$A$6:$A$10,MATCH($I129,'Konstanten'!$A$6:$A$10,1)+1)-INDEX('Konstanten'!$A$6:$A$10,MATCH($I129,'Konstanten'!$A$6:$A$10,1)))*(INDEX('Konstanten'!$B$6:$B$10,MATCH($I129,'Konstanten'!$A$6:$A$10,1)+1)-INDEX('Konstanten'!$B$6:$B$10,MATCH($I129,'Konstanten'!$A$6:$A$10,1))),INDEX('Konstanten'!$B$6:$B$10,MATCH($I129,'Konstanten'!$A$6:$A$10,1))),""))</f>
        <v/>
      </c>
      <c r="P129" s="62">
        <f>IF($B129="","",IFERROR(IFERROR(INDEX('Konstanten'!$C$6:$C$10,MATCH($I129,'Konstanten'!$A$6:$A$10,1))+($I129-INDEX('Konstanten'!$A$6:$A$10,MATCH($I129,'Konstanten'!$A$6:$A$10,1)))/(INDEX('Konstanten'!$A$6:$A$10,MATCH($I129,'Konstanten'!$A$6:$A$10,1)+1)-INDEX('Konstanten'!$A$6:$A$10,MATCH($I129,'Konstanten'!$A$6:$A$10,1)))*(INDEX('Konstanten'!$C$6:$C$10,MATCH($I129,'Konstanten'!$A$6:$A$10,1)+1)-INDEX('Konstanten'!$C$6:$C$10,MATCH($I129,'Konstanten'!$A$6:$A$10,1))),INDEX('Konstanten'!$C$6:$C$10,MATCH($I129,'Konstanten'!$A$6:$A$10,1))),""))</f>
        <v/>
      </c>
      <c r="Q129" s="63">
        <f>IF(OR($B129="",$N129="",$O129="",$P129=""),"",'Konstanten'!$C$13*$O129*$P129^(1-($J129/1000)/0.075)*'Konstanten'!$C$14^'Konstanten'!$C$16*'Konstanten'!$C$15^'Konstanten'!$C$17*$N129)</f>
        <v/>
      </c>
      <c r="R129" s="64">
        <f>IF(OR($B129="",$Q129=""),"",$E129+$Q129/'Grundeinstellungen'!$J$6)</f>
        <v/>
      </c>
      <c r="S129" s="64">
        <f>IF($B129="","",IFERROR(VLOOKUP($M129,'Konstanten'!$H$6:$I$13,2,FALSE),29))</f>
        <v/>
      </c>
      <c r="T129" s="65">
        <f>IF(OR($B129="",$Q129=""),"",$Q129*$H129)</f>
        <v/>
      </c>
      <c r="U129" s="66">
        <f>IF(OR($B129="",$T129=""),"",$T129-$F129)</f>
        <v/>
      </c>
      <c r="V129" s="67">
        <f>IF(OR($B129="",$T129=""),"",IFERROR($T129/$F129,""))</f>
        <v/>
      </c>
      <c r="W129" s="65">
        <f>IF(OR($B129="",$H129=""),"",'Grundeinstellungen'!$J$13*$H129)</f>
        <v/>
      </c>
      <c r="X129" s="65">
        <f>IF(OR($B129="",$T129=""),"",MIN($T129,$F129)+$W129)</f>
        <v/>
      </c>
      <c r="Y129" s="68">
        <f>IF($B129="","",IFERROR($H129/($J129/1000),""))</f>
        <v/>
      </c>
      <c r="Z129" s="68">
        <f>IF($B129="","",IFERROR(2*$L129*$K129,""))</f>
        <v/>
      </c>
      <c r="AA129" s="68">
        <f>IF(OR($B129="",$Y129="",$Z129=""),"",$Y129+$Z129)</f>
        <v/>
      </c>
      <c r="AB129" s="68">
        <f>IF(OR($B129="",$AA129=""),"",IFERROR($AA129/$K129,""))</f>
        <v/>
      </c>
      <c r="AC129" s="69">
        <f>IF(OR($B129="",$X129=""),"",IFERROR(($X129/$K129)/('Grundeinstellungen'!$C$16*('Grundeinstellungen'!$C$6-'Grundeinstellungen'!$C$7))*3600,""))</f>
        <v/>
      </c>
      <c r="AD129" s="70">
        <f>IF(OR($B129="",$AC129=""),"",$AC129/'Grundeinstellungen'!$C$15*1000)</f>
        <v/>
      </c>
      <c r="AE129" s="71">
        <f>IF(OR($B129="",$AC129=""),"",IFERROR($AC129/3600/'Grundeinstellungen'!$C$15/'Grundeinstellungen'!$J$22,""))</f>
        <v/>
      </c>
      <c r="AF129" s="72">
        <f>IF(OR($B129="",$AE129=""),"",IFERROR($AE129*'Grundeinstellungen'!$J$21/'Grundeinstellungen'!$C$17,""))</f>
        <v/>
      </c>
      <c r="AG129" s="73">
        <f>IF(OR($B129="",$AF129=""),"",IF($AF129&lt;2300,"laminar",IF($AF129&lt;4000,"Übergangsbereich","turbulent")))</f>
        <v/>
      </c>
      <c r="AH129" s="74">
        <f>IF(OR($B129="",$AF129=""),"",IF($AF129&lt;2300,64/$AF129,0.316/$AF129^0.25))</f>
        <v/>
      </c>
      <c r="AI129" s="75">
        <f>IF(OR($B129="",$AH129="",$AB129=""),"",IFERROR($AH129*($AB129/'Grundeinstellungen'!$J$21)*('Grundeinstellungen'!$C$15/2)*$AE129^2,""))</f>
        <v/>
      </c>
      <c r="AJ129" s="76">
        <f>IF(OR($B129="",$AI129="",$AB129=""),"",IFERROR($AI129/$AB129,""))</f>
        <v/>
      </c>
      <c r="AK129" s="75">
        <f>IF(OR($B129="",$AI129=""),"",$AI129*(1+'Grundeinstellungen'!$C$24)+'Grundeinstellungen'!$C$25)</f>
        <v/>
      </c>
    </row>
    <row r="130">
      <c r="A130" s="51" t="n"/>
      <c r="B130" s="51" t="n"/>
      <c r="C130" s="51" t="n"/>
      <c r="D130" s="52" t="n"/>
      <c r="E130" s="53" t="n"/>
      <c r="F130" s="54" t="n"/>
      <c r="G130" s="55">
        <f>IF($B130="","",IFERROR($F130/$D130,""))</f>
        <v/>
      </c>
      <c r="H130" s="52" t="n"/>
      <c r="I130" s="56" t="n"/>
      <c r="J130" s="57" t="n"/>
      <c r="K130" s="58" t="n"/>
      <c r="L130" s="59" t="n"/>
      <c r="M130" s="60" t="n"/>
      <c r="N130" s="61">
        <f>IF($B130="","",IFERROR(('Grundeinstellungen'!$C$6-'Grundeinstellungen'!$C$7)/LN(('Grundeinstellungen'!$C$6-$E130)/('Grundeinstellungen'!$C$7-$E130)),""))</f>
        <v/>
      </c>
      <c r="O130" s="62">
        <f>IF($B130="","",IFERROR(IFERROR(INDEX('Konstanten'!$B$6:$B$10,MATCH($I130,'Konstanten'!$A$6:$A$10,1))+($I130-INDEX('Konstanten'!$A$6:$A$10,MATCH($I130,'Konstanten'!$A$6:$A$10,1)))/(INDEX('Konstanten'!$A$6:$A$10,MATCH($I130,'Konstanten'!$A$6:$A$10,1)+1)-INDEX('Konstanten'!$A$6:$A$10,MATCH($I130,'Konstanten'!$A$6:$A$10,1)))*(INDEX('Konstanten'!$B$6:$B$10,MATCH($I130,'Konstanten'!$A$6:$A$10,1)+1)-INDEX('Konstanten'!$B$6:$B$10,MATCH($I130,'Konstanten'!$A$6:$A$10,1))),INDEX('Konstanten'!$B$6:$B$10,MATCH($I130,'Konstanten'!$A$6:$A$10,1))),""))</f>
        <v/>
      </c>
      <c r="P130" s="62">
        <f>IF($B130="","",IFERROR(IFERROR(INDEX('Konstanten'!$C$6:$C$10,MATCH($I130,'Konstanten'!$A$6:$A$10,1))+($I130-INDEX('Konstanten'!$A$6:$A$10,MATCH($I130,'Konstanten'!$A$6:$A$10,1)))/(INDEX('Konstanten'!$A$6:$A$10,MATCH($I130,'Konstanten'!$A$6:$A$10,1)+1)-INDEX('Konstanten'!$A$6:$A$10,MATCH($I130,'Konstanten'!$A$6:$A$10,1)))*(INDEX('Konstanten'!$C$6:$C$10,MATCH($I130,'Konstanten'!$A$6:$A$10,1)+1)-INDEX('Konstanten'!$C$6:$C$10,MATCH($I130,'Konstanten'!$A$6:$A$10,1))),INDEX('Konstanten'!$C$6:$C$10,MATCH($I130,'Konstanten'!$A$6:$A$10,1))),""))</f>
        <v/>
      </c>
      <c r="Q130" s="63">
        <f>IF(OR($B130="",$N130="",$O130="",$P130=""),"",'Konstanten'!$C$13*$O130*$P130^(1-($J130/1000)/0.075)*'Konstanten'!$C$14^'Konstanten'!$C$16*'Konstanten'!$C$15^'Konstanten'!$C$17*$N130)</f>
        <v/>
      </c>
      <c r="R130" s="64">
        <f>IF(OR($B130="",$Q130=""),"",$E130+$Q130/'Grundeinstellungen'!$J$6)</f>
        <v/>
      </c>
      <c r="S130" s="64">
        <f>IF($B130="","",IFERROR(VLOOKUP($M130,'Konstanten'!$H$6:$I$13,2,FALSE),29))</f>
        <v/>
      </c>
      <c r="T130" s="65">
        <f>IF(OR($B130="",$Q130=""),"",$Q130*$H130)</f>
        <v/>
      </c>
      <c r="U130" s="66">
        <f>IF(OR($B130="",$T130=""),"",$T130-$F130)</f>
        <v/>
      </c>
      <c r="V130" s="67">
        <f>IF(OR($B130="",$T130=""),"",IFERROR($T130/$F130,""))</f>
        <v/>
      </c>
      <c r="W130" s="65">
        <f>IF(OR($B130="",$H130=""),"",'Grundeinstellungen'!$J$13*$H130)</f>
        <v/>
      </c>
      <c r="X130" s="65">
        <f>IF(OR($B130="",$T130=""),"",MIN($T130,$F130)+$W130)</f>
        <v/>
      </c>
      <c r="Y130" s="68">
        <f>IF($B130="","",IFERROR($H130/($J130/1000),""))</f>
        <v/>
      </c>
      <c r="Z130" s="68">
        <f>IF($B130="","",IFERROR(2*$L130*$K130,""))</f>
        <v/>
      </c>
      <c r="AA130" s="68">
        <f>IF(OR($B130="",$Y130="",$Z130=""),"",$Y130+$Z130)</f>
        <v/>
      </c>
      <c r="AB130" s="68">
        <f>IF(OR($B130="",$AA130=""),"",IFERROR($AA130/$K130,""))</f>
        <v/>
      </c>
      <c r="AC130" s="69">
        <f>IF(OR($B130="",$X130=""),"",IFERROR(($X130/$K130)/('Grundeinstellungen'!$C$16*('Grundeinstellungen'!$C$6-'Grundeinstellungen'!$C$7))*3600,""))</f>
        <v/>
      </c>
      <c r="AD130" s="70">
        <f>IF(OR($B130="",$AC130=""),"",$AC130/'Grundeinstellungen'!$C$15*1000)</f>
        <v/>
      </c>
      <c r="AE130" s="71">
        <f>IF(OR($B130="",$AC130=""),"",IFERROR($AC130/3600/'Grundeinstellungen'!$C$15/'Grundeinstellungen'!$J$22,""))</f>
        <v/>
      </c>
      <c r="AF130" s="72">
        <f>IF(OR($B130="",$AE130=""),"",IFERROR($AE130*'Grundeinstellungen'!$J$21/'Grundeinstellungen'!$C$17,""))</f>
        <v/>
      </c>
      <c r="AG130" s="73">
        <f>IF(OR($B130="",$AF130=""),"",IF($AF130&lt;2300,"laminar",IF($AF130&lt;4000,"Übergangsbereich","turbulent")))</f>
        <v/>
      </c>
      <c r="AH130" s="74">
        <f>IF(OR($B130="",$AF130=""),"",IF($AF130&lt;2300,64/$AF130,0.316/$AF130^0.25))</f>
        <v/>
      </c>
      <c r="AI130" s="75">
        <f>IF(OR($B130="",$AH130="",$AB130=""),"",IFERROR($AH130*($AB130/'Grundeinstellungen'!$J$21)*('Grundeinstellungen'!$C$15/2)*$AE130^2,""))</f>
        <v/>
      </c>
      <c r="AJ130" s="76">
        <f>IF(OR($B130="",$AI130="",$AB130=""),"",IFERROR($AI130/$AB130,""))</f>
        <v/>
      </c>
      <c r="AK130" s="75">
        <f>IF(OR($B130="",$AI130=""),"",$AI130*(1+'Grundeinstellungen'!$C$24)+'Grundeinstellungen'!$C$25)</f>
        <v/>
      </c>
    </row>
    <row r="131">
      <c r="A131" s="51" t="n"/>
      <c r="B131" s="51" t="n"/>
      <c r="C131" s="51" t="n"/>
      <c r="D131" s="52" t="n"/>
      <c r="E131" s="53" t="n"/>
      <c r="F131" s="54" t="n"/>
      <c r="G131" s="55">
        <f>IF($B131="","",IFERROR($F131/$D131,""))</f>
        <v/>
      </c>
      <c r="H131" s="52" t="n"/>
      <c r="I131" s="56" t="n"/>
      <c r="J131" s="57" t="n"/>
      <c r="K131" s="58" t="n"/>
      <c r="L131" s="59" t="n"/>
      <c r="M131" s="60" t="n"/>
      <c r="N131" s="61">
        <f>IF($B131="","",IFERROR(('Grundeinstellungen'!$C$6-'Grundeinstellungen'!$C$7)/LN(('Grundeinstellungen'!$C$6-$E131)/('Grundeinstellungen'!$C$7-$E131)),""))</f>
        <v/>
      </c>
      <c r="O131" s="62">
        <f>IF($B131="","",IFERROR(IFERROR(INDEX('Konstanten'!$B$6:$B$10,MATCH($I131,'Konstanten'!$A$6:$A$10,1))+($I131-INDEX('Konstanten'!$A$6:$A$10,MATCH($I131,'Konstanten'!$A$6:$A$10,1)))/(INDEX('Konstanten'!$A$6:$A$10,MATCH($I131,'Konstanten'!$A$6:$A$10,1)+1)-INDEX('Konstanten'!$A$6:$A$10,MATCH($I131,'Konstanten'!$A$6:$A$10,1)))*(INDEX('Konstanten'!$B$6:$B$10,MATCH($I131,'Konstanten'!$A$6:$A$10,1)+1)-INDEX('Konstanten'!$B$6:$B$10,MATCH($I131,'Konstanten'!$A$6:$A$10,1))),INDEX('Konstanten'!$B$6:$B$10,MATCH($I131,'Konstanten'!$A$6:$A$10,1))),""))</f>
        <v/>
      </c>
      <c r="P131" s="62">
        <f>IF($B131="","",IFERROR(IFERROR(INDEX('Konstanten'!$C$6:$C$10,MATCH($I131,'Konstanten'!$A$6:$A$10,1))+($I131-INDEX('Konstanten'!$A$6:$A$10,MATCH($I131,'Konstanten'!$A$6:$A$10,1)))/(INDEX('Konstanten'!$A$6:$A$10,MATCH($I131,'Konstanten'!$A$6:$A$10,1)+1)-INDEX('Konstanten'!$A$6:$A$10,MATCH($I131,'Konstanten'!$A$6:$A$10,1)))*(INDEX('Konstanten'!$C$6:$C$10,MATCH($I131,'Konstanten'!$A$6:$A$10,1)+1)-INDEX('Konstanten'!$C$6:$C$10,MATCH($I131,'Konstanten'!$A$6:$A$10,1))),INDEX('Konstanten'!$C$6:$C$10,MATCH($I131,'Konstanten'!$A$6:$A$10,1))),""))</f>
        <v/>
      </c>
      <c r="Q131" s="63">
        <f>IF(OR($B131="",$N131="",$O131="",$P131=""),"",'Konstanten'!$C$13*$O131*$P131^(1-($J131/1000)/0.075)*'Konstanten'!$C$14^'Konstanten'!$C$16*'Konstanten'!$C$15^'Konstanten'!$C$17*$N131)</f>
        <v/>
      </c>
      <c r="R131" s="64">
        <f>IF(OR($B131="",$Q131=""),"",$E131+$Q131/'Grundeinstellungen'!$J$6)</f>
        <v/>
      </c>
      <c r="S131" s="64">
        <f>IF($B131="","",IFERROR(VLOOKUP($M131,'Konstanten'!$H$6:$I$13,2,FALSE),29))</f>
        <v/>
      </c>
      <c r="T131" s="65">
        <f>IF(OR($B131="",$Q131=""),"",$Q131*$H131)</f>
        <v/>
      </c>
      <c r="U131" s="66">
        <f>IF(OR($B131="",$T131=""),"",$T131-$F131)</f>
        <v/>
      </c>
      <c r="V131" s="67">
        <f>IF(OR($B131="",$T131=""),"",IFERROR($T131/$F131,""))</f>
        <v/>
      </c>
      <c r="W131" s="65">
        <f>IF(OR($B131="",$H131=""),"",'Grundeinstellungen'!$J$13*$H131)</f>
        <v/>
      </c>
      <c r="X131" s="65">
        <f>IF(OR($B131="",$T131=""),"",MIN($T131,$F131)+$W131)</f>
        <v/>
      </c>
      <c r="Y131" s="68">
        <f>IF($B131="","",IFERROR($H131/($J131/1000),""))</f>
        <v/>
      </c>
      <c r="Z131" s="68">
        <f>IF($B131="","",IFERROR(2*$L131*$K131,""))</f>
        <v/>
      </c>
      <c r="AA131" s="68">
        <f>IF(OR($B131="",$Y131="",$Z131=""),"",$Y131+$Z131)</f>
        <v/>
      </c>
      <c r="AB131" s="68">
        <f>IF(OR($B131="",$AA131=""),"",IFERROR($AA131/$K131,""))</f>
        <v/>
      </c>
      <c r="AC131" s="69">
        <f>IF(OR($B131="",$X131=""),"",IFERROR(($X131/$K131)/('Grundeinstellungen'!$C$16*('Grundeinstellungen'!$C$6-'Grundeinstellungen'!$C$7))*3600,""))</f>
        <v/>
      </c>
      <c r="AD131" s="70">
        <f>IF(OR($B131="",$AC131=""),"",$AC131/'Grundeinstellungen'!$C$15*1000)</f>
        <v/>
      </c>
      <c r="AE131" s="71">
        <f>IF(OR($B131="",$AC131=""),"",IFERROR($AC131/3600/'Grundeinstellungen'!$C$15/'Grundeinstellungen'!$J$22,""))</f>
        <v/>
      </c>
      <c r="AF131" s="72">
        <f>IF(OR($B131="",$AE131=""),"",IFERROR($AE131*'Grundeinstellungen'!$J$21/'Grundeinstellungen'!$C$17,""))</f>
        <v/>
      </c>
      <c r="AG131" s="73">
        <f>IF(OR($B131="",$AF131=""),"",IF($AF131&lt;2300,"laminar",IF($AF131&lt;4000,"Übergangsbereich","turbulent")))</f>
        <v/>
      </c>
      <c r="AH131" s="74">
        <f>IF(OR($B131="",$AF131=""),"",IF($AF131&lt;2300,64/$AF131,0.316/$AF131^0.25))</f>
        <v/>
      </c>
      <c r="AI131" s="75">
        <f>IF(OR($B131="",$AH131="",$AB131=""),"",IFERROR($AH131*($AB131/'Grundeinstellungen'!$J$21)*('Grundeinstellungen'!$C$15/2)*$AE131^2,""))</f>
        <v/>
      </c>
      <c r="AJ131" s="76">
        <f>IF(OR($B131="",$AI131="",$AB131=""),"",IFERROR($AI131/$AB131,""))</f>
        <v/>
      </c>
      <c r="AK131" s="75">
        <f>IF(OR($B131="",$AI131=""),"",$AI131*(1+'Grundeinstellungen'!$C$24)+'Grundeinstellungen'!$C$25)</f>
        <v/>
      </c>
    </row>
    <row r="132">
      <c r="A132" s="51" t="n"/>
      <c r="B132" s="51" t="n"/>
      <c r="C132" s="51" t="n"/>
      <c r="D132" s="52" t="n"/>
      <c r="E132" s="53" t="n"/>
      <c r="F132" s="54" t="n"/>
      <c r="G132" s="55">
        <f>IF($B132="","",IFERROR($F132/$D132,""))</f>
        <v/>
      </c>
      <c r="H132" s="52" t="n"/>
      <c r="I132" s="56" t="n"/>
      <c r="J132" s="57" t="n"/>
      <c r="K132" s="58" t="n"/>
      <c r="L132" s="59" t="n"/>
      <c r="M132" s="60" t="n"/>
      <c r="N132" s="61">
        <f>IF($B132="","",IFERROR(('Grundeinstellungen'!$C$6-'Grundeinstellungen'!$C$7)/LN(('Grundeinstellungen'!$C$6-$E132)/('Grundeinstellungen'!$C$7-$E132)),""))</f>
        <v/>
      </c>
      <c r="O132" s="62">
        <f>IF($B132="","",IFERROR(IFERROR(INDEX('Konstanten'!$B$6:$B$10,MATCH($I132,'Konstanten'!$A$6:$A$10,1))+($I132-INDEX('Konstanten'!$A$6:$A$10,MATCH($I132,'Konstanten'!$A$6:$A$10,1)))/(INDEX('Konstanten'!$A$6:$A$10,MATCH($I132,'Konstanten'!$A$6:$A$10,1)+1)-INDEX('Konstanten'!$A$6:$A$10,MATCH($I132,'Konstanten'!$A$6:$A$10,1)))*(INDEX('Konstanten'!$B$6:$B$10,MATCH($I132,'Konstanten'!$A$6:$A$10,1)+1)-INDEX('Konstanten'!$B$6:$B$10,MATCH($I132,'Konstanten'!$A$6:$A$10,1))),INDEX('Konstanten'!$B$6:$B$10,MATCH($I132,'Konstanten'!$A$6:$A$10,1))),""))</f>
        <v/>
      </c>
      <c r="P132" s="62">
        <f>IF($B132="","",IFERROR(IFERROR(INDEX('Konstanten'!$C$6:$C$10,MATCH($I132,'Konstanten'!$A$6:$A$10,1))+($I132-INDEX('Konstanten'!$A$6:$A$10,MATCH($I132,'Konstanten'!$A$6:$A$10,1)))/(INDEX('Konstanten'!$A$6:$A$10,MATCH($I132,'Konstanten'!$A$6:$A$10,1)+1)-INDEX('Konstanten'!$A$6:$A$10,MATCH($I132,'Konstanten'!$A$6:$A$10,1)))*(INDEX('Konstanten'!$C$6:$C$10,MATCH($I132,'Konstanten'!$A$6:$A$10,1)+1)-INDEX('Konstanten'!$C$6:$C$10,MATCH($I132,'Konstanten'!$A$6:$A$10,1))),INDEX('Konstanten'!$C$6:$C$10,MATCH($I132,'Konstanten'!$A$6:$A$10,1))),""))</f>
        <v/>
      </c>
      <c r="Q132" s="63">
        <f>IF(OR($B132="",$N132="",$O132="",$P132=""),"",'Konstanten'!$C$13*$O132*$P132^(1-($J132/1000)/0.075)*'Konstanten'!$C$14^'Konstanten'!$C$16*'Konstanten'!$C$15^'Konstanten'!$C$17*$N132)</f>
        <v/>
      </c>
      <c r="R132" s="64">
        <f>IF(OR($B132="",$Q132=""),"",$E132+$Q132/'Grundeinstellungen'!$J$6)</f>
        <v/>
      </c>
      <c r="S132" s="64">
        <f>IF($B132="","",IFERROR(VLOOKUP($M132,'Konstanten'!$H$6:$I$13,2,FALSE),29))</f>
        <v/>
      </c>
      <c r="T132" s="65">
        <f>IF(OR($B132="",$Q132=""),"",$Q132*$H132)</f>
        <v/>
      </c>
      <c r="U132" s="66">
        <f>IF(OR($B132="",$T132=""),"",$T132-$F132)</f>
        <v/>
      </c>
      <c r="V132" s="67">
        <f>IF(OR($B132="",$T132=""),"",IFERROR($T132/$F132,""))</f>
        <v/>
      </c>
      <c r="W132" s="65">
        <f>IF(OR($B132="",$H132=""),"",'Grundeinstellungen'!$J$13*$H132)</f>
        <v/>
      </c>
      <c r="X132" s="65">
        <f>IF(OR($B132="",$T132=""),"",MIN($T132,$F132)+$W132)</f>
        <v/>
      </c>
      <c r="Y132" s="68">
        <f>IF($B132="","",IFERROR($H132/($J132/1000),""))</f>
        <v/>
      </c>
      <c r="Z132" s="68">
        <f>IF($B132="","",IFERROR(2*$L132*$K132,""))</f>
        <v/>
      </c>
      <c r="AA132" s="68">
        <f>IF(OR($B132="",$Y132="",$Z132=""),"",$Y132+$Z132)</f>
        <v/>
      </c>
      <c r="AB132" s="68">
        <f>IF(OR($B132="",$AA132=""),"",IFERROR($AA132/$K132,""))</f>
        <v/>
      </c>
      <c r="AC132" s="69">
        <f>IF(OR($B132="",$X132=""),"",IFERROR(($X132/$K132)/('Grundeinstellungen'!$C$16*('Grundeinstellungen'!$C$6-'Grundeinstellungen'!$C$7))*3600,""))</f>
        <v/>
      </c>
      <c r="AD132" s="70">
        <f>IF(OR($B132="",$AC132=""),"",$AC132/'Grundeinstellungen'!$C$15*1000)</f>
        <v/>
      </c>
      <c r="AE132" s="71">
        <f>IF(OR($B132="",$AC132=""),"",IFERROR($AC132/3600/'Grundeinstellungen'!$C$15/'Grundeinstellungen'!$J$22,""))</f>
        <v/>
      </c>
      <c r="AF132" s="72">
        <f>IF(OR($B132="",$AE132=""),"",IFERROR($AE132*'Grundeinstellungen'!$J$21/'Grundeinstellungen'!$C$17,""))</f>
        <v/>
      </c>
      <c r="AG132" s="73">
        <f>IF(OR($B132="",$AF132=""),"",IF($AF132&lt;2300,"laminar",IF($AF132&lt;4000,"Übergangsbereich","turbulent")))</f>
        <v/>
      </c>
      <c r="AH132" s="74">
        <f>IF(OR($B132="",$AF132=""),"",IF($AF132&lt;2300,64/$AF132,0.316/$AF132^0.25))</f>
        <v/>
      </c>
      <c r="AI132" s="75">
        <f>IF(OR($B132="",$AH132="",$AB132=""),"",IFERROR($AH132*($AB132/'Grundeinstellungen'!$J$21)*('Grundeinstellungen'!$C$15/2)*$AE132^2,""))</f>
        <v/>
      </c>
      <c r="AJ132" s="76">
        <f>IF(OR($B132="",$AI132="",$AB132=""),"",IFERROR($AI132/$AB132,""))</f>
        <v/>
      </c>
      <c r="AK132" s="75">
        <f>IF(OR($B132="",$AI132=""),"",$AI132*(1+'Grundeinstellungen'!$C$24)+'Grundeinstellungen'!$C$25)</f>
        <v/>
      </c>
    </row>
    <row r="133">
      <c r="A133" s="51" t="n"/>
      <c r="B133" s="51" t="n"/>
      <c r="C133" s="51" t="n"/>
      <c r="D133" s="52" t="n"/>
      <c r="E133" s="53" t="n"/>
      <c r="F133" s="54" t="n"/>
      <c r="G133" s="55">
        <f>IF($B133="","",IFERROR($F133/$D133,""))</f>
        <v/>
      </c>
      <c r="H133" s="52" t="n"/>
      <c r="I133" s="56" t="n"/>
      <c r="J133" s="57" t="n"/>
      <c r="K133" s="58" t="n"/>
      <c r="L133" s="59" t="n"/>
      <c r="M133" s="60" t="n"/>
      <c r="N133" s="61">
        <f>IF($B133="","",IFERROR(('Grundeinstellungen'!$C$6-'Grundeinstellungen'!$C$7)/LN(('Grundeinstellungen'!$C$6-$E133)/('Grundeinstellungen'!$C$7-$E133)),""))</f>
        <v/>
      </c>
      <c r="O133" s="62">
        <f>IF($B133="","",IFERROR(IFERROR(INDEX('Konstanten'!$B$6:$B$10,MATCH($I133,'Konstanten'!$A$6:$A$10,1))+($I133-INDEX('Konstanten'!$A$6:$A$10,MATCH($I133,'Konstanten'!$A$6:$A$10,1)))/(INDEX('Konstanten'!$A$6:$A$10,MATCH($I133,'Konstanten'!$A$6:$A$10,1)+1)-INDEX('Konstanten'!$A$6:$A$10,MATCH($I133,'Konstanten'!$A$6:$A$10,1)))*(INDEX('Konstanten'!$B$6:$B$10,MATCH($I133,'Konstanten'!$A$6:$A$10,1)+1)-INDEX('Konstanten'!$B$6:$B$10,MATCH($I133,'Konstanten'!$A$6:$A$10,1))),INDEX('Konstanten'!$B$6:$B$10,MATCH($I133,'Konstanten'!$A$6:$A$10,1))),""))</f>
        <v/>
      </c>
      <c r="P133" s="62">
        <f>IF($B133="","",IFERROR(IFERROR(INDEX('Konstanten'!$C$6:$C$10,MATCH($I133,'Konstanten'!$A$6:$A$10,1))+($I133-INDEX('Konstanten'!$A$6:$A$10,MATCH($I133,'Konstanten'!$A$6:$A$10,1)))/(INDEX('Konstanten'!$A$6:$A$10,MATCH($I133,'Konstanten'!$A$6:$A$10,1)+1)-INDEX('Konstanten'!$A$6:$A$10,MATCH($I133,'Konstanten'!$A$6:$A$10,1)))*(INDEX('Konstanten'!$C$6:$C$10,MATCH($I133,'Konstanten'!$A$6:$A$10,1)+1)-INDEX('Konstanten'!$C$6:$C$10,MATCH($I133,'Konstanten'!$A$6:$A$10,1))),INDEX('Konstanten'!$C$6:$C$10,MATCH($I133,'Konstanten'!$A$6:$A$10,1))),""))</f>
        <v/>
      </c>
      <c r="Q133" s="63">
        <f>IF(OR($B133="",$N133="",$O133="",$P133=""),"",'Konstanten'!$C$13*$O133*$P133^(1-($J133/1000)/0.075)*'Konstanten'!$C$14^'Konstanten'!$C$16*'Konstanten'!$C$15^'Konstanten'!$C$17*$N133)</f>
        <v/>
      </c>
      <c r="R133" s="64">
        <f>IF(OR($B133="",$Q133=""),"",$E133+$Q133/'Grundeinstellungen'!$J$6)</f>
        <v/>
      </c>
      <c r="S133" s="64">
        <f>IF($B133="","",IFERROR(VLOOKUP($M133,'Konstanten'!$H$6:$I$13,2,FALSE),29))</f>
        <v/>
      </c>
      <c r="T133" s="65">
        <f>IF(OR($B133="",$Q133=""),"",$Q133*$H133)</f>
        <v/>
      </c>
      <c r="U133" s="66">
        <f>IF(OR($B133="",$T133=""),"",$T133-$F133)</f>
        <v/>
      </c>
      <c r="V133" s="67">
        <f>IF(OR($B133="",$T133=""),"",IFERROR($T133/$F133,""))</f>
        <v/>
      </c>
      <c r="W133" s="65">
        <f>IF(OR($B133="",$H133=""),"",'Grundeinstellungen'!$J$13*$H133)</f>
        <v/>
      </c>
      <c r="X133" s="65">
        <f>IF(OR($B133="",$T133=""),"",MIN($T133,$F133)+$W133)</f>
        <v/>
      </c>
      <c r="Y133" s="68">
        <f>IF($B133="","",IFERROR($H133/($J133/1000),""))</f>
        <v/>
      </c>
      <c r="Z133" s="68">
        <f>IF($B133="","",IFERROR(2*$L133*$K133,""))</f>
        <v/>
      </c>
      <c r="AA133" s="68">
        <f>IF(OR($B133="",$Y133="",$Z133=""),"",$Y133+$Z133)</f>
        <v/>
      </c>
      <c r="AB133" s="68">
        <f>IF(OR($B133="",$AA133=""),"",IFERROR($AA133/$K133,""))</f>
        <v/>
      </c>
      <c r="AC133" s="69">
        <f>IF(OR($B133="",$X133=""),"",IFERROR(($X133/$K133)/('Grundeinstellungen'!$C$16*('Grundeinstellungen'!$C$6-'Grundeinstellungen'!$C$7))*3600,""))</f>
        <v/>
      </c>
      <c r="AD133" s="70">
        <f>IF(OR($B133="",$AC133=""),"",$AC133/'Grundeinstellungen'!$C$15*1000)</f>
        <v/>
      </c>
      <c r="AE133" s="71">
        <f>IF(OR($B133="",$AC133=""),"",IFERROR($AC133/3600/'Grundeinstellungen'!$C$15/'Grundeinstellungen'!$J$22,""))</f>
        <v/>
      </c>
      <c r="AF133" s="72">
        <f>IF(OR($B133="",$AE133=""),"",IFERROR($AE133*'Grundeinstellungen'!$J$21/'Grundeinstellungen'!$C$17,""))</f>
        <v/>
      </c>
      <c r="AG133" s="73">
        <f>IF(OR($B133="",$AF133=""),"",IF($AF133&lt;2300,"laminar",IF($AF133&lt;4000,"Übergangsbereich","turbulent")))</f>
        <v/>
      </c>
      <c r="AH133" s="74">
        <f>IF(OR($B133="",$AF133=""),"",IF($AF133&lt;2300,64/$AF133,0.316/$AF133^0.25))</f>
        <v/>
      </c>
      <c r="AI133" s="75">
        <f>IF(OR($B133="",$AH133="",$AB133=""),"",IFERROR($AH133*($AB133/'Grundeinstellungen'!$J$21)*('Grundeinstellungen'!$C$15/2)*$AE133^2,""))</f>
        <v/>
      </c>
      <c r="AJ133" s="76">
        <f>IF(OR($B133="",$AI133="",$AB133=""),"",IFERROR($AI133/$AB133,""))</f>
        <v/>
      </c>
      <c r="AK133" s="75">
        <f>IF(OR($B133="",$AI133=""),"",$AI133*(1+'Grundeinstellungen'!$C$24)+'Grundeinstellungen'!$C$25)</f>
        <v/>
      </c>
    </row>
    <row r="134">
      <c r="A134" s="51" t="n"/>
      <c r="B134" s="51" t="n"/>
      <c r="C134" s="51" t="n"/>
      <c r="D134" s="52" t="n"/>
      <c r="E134" s="53" t="n"/>
      <c r="F134" s="54" t="n"/>
      <c r="G134" s="55">
        <f>IF($B134="","",IFERROR($F134/$D134,""))</f>
        <v/>
      </c>
      <c r="H134" s="52" t="n"/>
      <c r="I134" s="56" t="n"/>
      <c r="J134" s="57" t="n"/>
      <c r="K134" s="58" t="n"/>
      <c r="L134" s="59" t="n"/>
      <c r="M134" s="60" t="n"/>
      <c r="N134" s="61">
        <f>IF($B134="","",IFERROR(('Grundeinstellungen'!$C$6-'Grundeinstellungen'!$C$7)/LN(('Grundeinstellungen'!$C$6-$E134)/('Grundeinstellungen'!$C$7-$E134)),""))</f>
        <v/>
      </c>
      <c r="O134" s="62">
        <f>IF($B134="","",IFERROR(IFERROR(INDEX('Konstanten'!$B$6:$B$10,MATCH($I134,'Konstanten'!$A$6:$A$10,1))+($I134-INDEX('Konstanten'!$A$6:$A$10,MATCH($I134,'Konstanten'!$A$6:$A$10,1)))/(INDEX('Konstanten'!$A$6:$A$10,MATCH($I134,'Konstanten'!$A$6:$A$10,1)+1)-INDEX('Konstanten'!$A$6:$A$10,MATCH($I134,'Konstanten'!$A$6:$A$10,1)))*(INDEX('Konstanten'!$B$6:$B$10,MATCH($I134,'Konstanten'!$A$6:$A$10,1)+1)-INDEX('Konstanten'!$B$6:$B$10,MATCH($I134,'Konstanten'!$A$6:$A$10,1))),INDEX('Konstanten'!$B$6:$B$10,MATCH($I134,'Konstanten'!$A$6:$A$10,1))),""))</f>
        <v/>
      </c>
      <c r="P134" s="62">
        <f>IF($B134="","",IFERROR(IFERROR(INDEX('Konstanten'!$C$6:$C$10,MATCH($I134,'Konstanten'!$A$6:$A$10,1))+($I134-INDEX('Konstanten'!$A$6:$A$10,MATCH($I134,'Konstanten'!$A$6:$A$10,1)))/(INDEX('Konstanten'!$A$6:$A$10,MATCH($I134,'Konstanten'!$A$6:$A$10,1)+1)-INDEX('Konstanten'!$A$6:$A$10,MATCH($I134,'Konstanten'!$A$6:$A$10,1)))*(INDEX('Konstanten'!$C$6:$C$10,MATCH($I134,'Konstanten'!$A$6:$A$10,1)+1)-INDEX('Konstanten'!$C$6:$C$10,MATCH($I134,'Konstanten'!$A$6:$A$10,1))),INDEX('Konstanten'!$C$6:$C$10,MATCH($I134,'Konstanten'!$A$6:$A$10,1))),""))</f>
        <v/>
      </c>
      <c r="Q134" s="63">
        <f>IF(OR($B134="",$N134="",$O134="",$P134=""),"",'Konstanten'!$C$13*$O134*$P134^(1-($J134/1000)/0.075)*'Konstanten'!$C$14^'Konstanten'!$C$16*'Konstanten'!$C$15^'Konstanten'!$C$17*$N134)</f>
        <v/>
      </c>
      <c r="R134" s="64">
        <f>IF(OR($B134="",$Q134=""),"",$E134+$Q134/'Grundeinstellungen'!$J$6)</f>
        <v/>
      </c>
      <c r="S134" s="64">
        <f>IF($B134="","",IFERROR(VLOOKUP($M134,'Konstanten'!$H$6:$I$13,2,FALSE),29))</f>
        <v/>
      </c>
      <c r="T134" s="65">
        <f>IF(OR($B134="",$Q134=""),"",$Q134*$H134)</f>
        <v/>
      </c>
      <c r="U134" s="66">
        <f>IF(OR($B134="",$T134=""),"",$T134-$F134)</f>
        <v/>
      </c>
      <c r="V134" s="67">
        <f>IF(OR($B134="",$T134=""),"",IFERROR($T134/$F134,""))</f>
        <v/>
      </c>
      <c r="W134" s="65">
        <f>IF(OR($B134="",$H134=""),"",'Grundeinstellungen'!$J$13*$H134)</f>
        <v/>
      </c>
      <c r="X134" s="65">
        <f>IF(OR($B134="",$T134=""),"",MIN($T134,$F134)+$W134)</f>
        <v/>
      </c>
      <c r="Y134" s="68">
        <f>IF($B134="","",IFERROR($H134/($J134/1000),""))</f>
        <v/>
      </c>
      <c r="Z134" s="68">
        <f>IF($B134="","",IFERROR(2*$L134*$K134,""))</f>
        <v/>
      </c>
      <c r="AA134" s="68">
        <f>IF(OR($B134="",$Y134="",$Z134=""),"",$Y134+$Z134)</f>
        <v/>
      </c>
      <c r="AB134" s="68">
        <f>IF(OR($B134="",$AA134=""),"",IFERROR($AA134/$K134,""))</f>
        <v/>
      </c>
      <c r="AC134" s="69">
        <f>IF(OR($B134="",$X134=""),"",IFERROR(($X134/$K134)/('Grundeinstellungen'!$C$16*('Grundeinstellungen'!$C$6-'Grundeinstellungen'!$C$7))*3600,""))</f>
        <v/>
      </c>
      <c r="AD134" s="70">
        <f>IF(OR($B134="",$AC134=""),"",$AC134/'Grundeinstellungen'!$C$15*1000)</f>
        <v/>
      </c>
      <c r="AE134" s="71">
        <f>IF(OR($B134="",$AC134=""),"",IFERROR($AC134/3600/'Grundeinstellungen'!$C$15/'Grundeinstellungen'!$J$22,""))</f>
        <v/>
      </c>
      <c r="AF134" s="72">
        <f>IF(OR($B134="",$AE134=""),"",IFERROR($AE134*'Grundeinstellungen'!$J$21/'Grundeinstellungen'!$C$17,""))</f>
        <v/>
      </c>
      <c r="AG134" s="73">
        <f>IF(OR($B134="",$AF134=""),"",IF($AF134&lt;2300,"laminar",IF($AF134&lt;4000,"Übergangsbereich","turbulent")))</f>
        <v/>
      </c>
      <c r="AH134" s="74">
        <f>IF(OR($B134="",$AF134=""),"",IF($AF134&lt;2300,64/$AF134,0.316/$AF134^0.25))</f>
        <v/>
      </c>
      <c r="AI134" s="75">
        <f>IF(OR($B134="",$AH134="",$AB134=""),"",IFERROR($AH134*($AB134/'Grundeinstellungen'!$J$21)*('Grundeinstellungen'!$C$15/2)*$AE134^2,""))</f>
        <v/>
      </c>
      <c r="AJ134" s="76">
        <f>IF(OR($B134="",$AI134="",$AB134=""),"",IFERROR($AI134/$AB134,""))</f>
        <v/>
      </c>
      <c r="AK134" s="75">
        <f>IF(OR($B134="",$AI134=""),"",$AI134*(1+'Grundeinstellungen'!$C$24)+'Grundeinstellungen'!$C$25)</f>
        <v/>
      </c>
    </row>
    <row r="135">
      <c r="A135" s="51" t="n"/>
      <c r="B135" s="51" t="n"/>
      <c r="C135" s="51" t="n"/>
      <c r="D135" s="52" t="n"/>
      <c r="E135" s="53" t="n"/>
      <c r="F135" s="54" t="n"/>
      <c r="G135" s="55">
        <f>IF($B135="","",IFERROR($F135/$D135,""))</f>
        <v/>
      </c>
      <c r="H135" s="52" t="n"/>
      <c r="I135" s="56" t="n"/>
      <c r="J135" s="57" t="n"/>
      <c r="K135" s="58" t="n"/>
      <c r="L135" s="59" t="n"/>
      <c r="M135" s="60" t="n"/>
      <c r="N135" s="61">
        <f>IF($B135="","",IFERROR(('Grundeinstellungen'!$C$6-'Grundeinstellungen'!$C$7)/LN(('Grundeinstellungen'!$C$6-$E135)/('Grundeinstellungen'!$C$7-$E135)),""))</f>
        <v/>
      </c>
      <c r="O135" s="62">
        <f>IF($B135="","",IFERROR(IFERROR(INDEX('Konstanten'!$B$6:$B$10,MATCH($I135,'Konstanten'!$A$6:$A$10,1))+($I135-INDEX('Konstanten'!$A$6:$A$10,MATCH($I135,'Konstanten'!$A$6:$A$10,1)))/(INDEX('Konstanten'!$A$6:$A$10,MATCH($I135,'Konstanten'!$A$6:$A$10,1)+1)-INDEX('Konstanten'!$A$6:$A$10,MATCH($I135,'Konstanten'!$A$6:$A$10,1)))*(INDEX('Konstanten'!$B$6:$B$10,MATCH($I135,'Konstanten'!$A$6:$A$10,1)+1)-INDEX('Konstanten'!$B$6:$B$10,MATCH($I135,'Konstanten'!$A$6:$A$10,1))),INDEX('Konstanten'!$B$6:$B$10,MATCH($I135,'Konstanten'!$A$6:$A$10,1))),""))</f>
        <v/>
      </c>
      <c r="P135" s="62">
        <f>IF($B135="","",IFERROR(IFERROR(INDEX('Konstanten'!$C$6:$C$10,MATCH($I135,'Konstanten'!$A$6:$A$10,1))+($I135-INDEX('Konstanten'!$A$6:$A$10,MATCH($I135,'Konstanten'!$A$6:$A$10,1)))/(INDEX('Konstanten'!$A$6:$A$10,MATCH($I135,'Konstanten'!$A$6:$A$10,1)+1)-INDEX('Konstanten'!$A$6:$A$10,MATCH($I135,'Konstanten'!$A$6:$A$10,1)))*(INDEX('Konstanten'!$C$6:$C$10,MATCH($I135,'Konstanten'!$A$6:$A$10,1)+1)-INDEX('Konstanten'!$C$6:$C$10,MATCH($I135,'Konstanten'!$A$6:$A$10,1))),INDEX('Konstanten'!$C$6:$C$10,MATCH($I135,'Konstanten'!$A$6:$A$10,1))),""))</f>
        <v/>
      </c>
      <c r="Q135" s="63">
        <f>IF(OR($B135="",$N135="",$O135="",$P135=""),"",'Konstanten'!$C$13*$O135*$P135^(1-($J135/1000)/0.075)*'Konstanten'!$C$14^'Konstanten'!$C$16*'Konstanten'!$C$15^'Konstanten'!$C$17*$N135)</f>
        <v/>
      </c>
      <c r="R135" s="64">
        <f>IF(OR($B135="",$Q135=""),"",$E135+$Q135/'Grundeinstellungen'!$J$6)</f>
        <v/>
      </c>
      <c r="S135" s="64">
        <f>IF($B135="","",IFERROR(VLOOKUP($M135,'Konstanten'!$H$6:$I$13,2,FALSE),29))</f>
        <v/>
      </c>
      <c r="T135" s="65">
        <f>IF(OR($B135="",$Q135=""),"",$Q135*$H135)</f>
        <v/>
      </c>
      <c r="U135" s="66">
        <f>IF(OR($B135="",$T135=""),"",$T135-$F135)</f>
        <v/>
      </c>
      <c r="V135" s="67">
        <f>IF(OR($B135="",$T135=""),"",IFERROR($T135/$F135,""))</f>
        <v/>
      </c>
      <c r="W135" s="65">
        <f>IF(OR($B135="",$H135=""),"",'Grundeinstellungen'!$J$13*$H135)</f>
        <v/>
      </c>
      <c r="X135" s="65">
        <f>IF(OR($B135="",$T135=""),"",MIN($T135,$F135)+$W135)</f>
        <v/>
      </c>
      <c r="Y135" s="68">
        <f>IF($B135="","",IFERROR($H135/($J135/1000),""))</f>
        <v/>
      </c>
      <c r="Z135" s="68">
        <f>IF($B135="","",IFERROR(2*$L135*$K135,""))</f>
        <v/>
      </c>
      <c r="AA135" s="68">
        <f>IF(OR($B135="",$Y135="",$Z135=""),"",$Y135+$Z135)</f>
        <v/>
      </c>
      <c r="AB135" s="68">
        <f>IF(OR($B135="",$AA135=""),"",IFERROR($AA135/$K135,""))</f>
        <v/>
      </c>
      <c r="AC135" s="69">
        <f>IF(OR($B135="",$X135=""),"",IFERROR(($X135/$K135)/('Grundeinstellungen'!$C$16*('Grundeinstellungen'!$C$6-'Grundeinstellungen'!$C$7))*3600,""))</f>
        <v/>
      </c>
      <c r="AD135" s="70">
        <f>IF(OR($B135="",$AC135=""),"",$AC135/'Grundeinstellungen'!$C$15*1000)</f>
        <v/>
      </c>
      <c r="AE135" s="71">
        <f>IF(OR($B135="",$AC135=""),"",IFERROR($AC135/3600/'Grundeinstellungen'!$C$15/'Grundeinstellungen'!$J$22,""))</f>
        <v/>
      </c>
      <c r="AF135" s="72">
        <f>IF(OR($B135="",$AE135=""),"",IFERROR($AE135*'Grundeinstellungen'!$J$21/'Grundeinstellungen'!$C$17,""))</f>
        <v/>
      </c>
      <c r="AG135" s="73">
        <f>IF(OR($B135="",$AF135=""),"",IF($AF135&lt;2300,"laminar",IF($AF135&lt;4000,"Übergangsbereich","turbulent")))</f>
        <v/>
      </c>
      <c r="AH135" s="74">
        <f>IF(OR($B135="",$AF135=""),"",IF($AF135&lt;2300,64/$AF135,0.316/$AF135^0.25))</f>
        <v/>
      </c>
      <c r="AI135" s="75">
        <f>IF(OR($B135="",$AH135="",$AB135=""),"",IFERROR($AH135*($AB135/'Grundeinstellungen'!$J$21)*('Grundeinstellungen'!$C$15/2)*$AE135^2,""))</f>
        <v/>
      </c>
      <c r="AJ135" s="76">
        <f>IF(OR($B135="",$AI135="",$AB135=""),"",IFERROR($AI135/$AB135,""))</f>
        <v/>
      </c>
      <c r="AK135" s="75">
        <f>IF(OR($B135="",$AI135=""),"",$AI135*(1+'Grundeinstellungen'!$C$24)+'Grundeinstellungen'!$C$25)</f>
        <v/>
      </c>
    </row>
    <row r="136">
      <c r="A136" s="51" t="n"/>
      <c r="B136" s="51" t="n"/>
      <c r="C136" s="51" t="n"/>
      <c r="D136" s="52" t="n"/>
      <c r="E136" s="53" t="n"/>
      <c r="F136" s="54" t="n"/>
      <c r="G136" s="55">
        <f>IF($B136="","",IFERROR($F136/$D136,""))</f>
        <v/>
      </c>
      <c r="H136" s="52" t="n"/>
      <c r="I136" s="56" t="n"/>
      <c r="J136" s="57" t="n"/>
      <c r="K136" s="58" t="n"/>
      <c r="L136" s="59" t="n"/>
      <c r="M136" s="60" t="n"/>
      <c r="N136" s="61">
        <f>IF($B136="","",IFERROR(('Grundeinstellungen'!$C$6-'Grundeinstellungen'!$C$7)/LN(('Grundeinstellungen'!$C$6-$E136)/('Grundeinstellungen'!$C$7-$E136)),""))</f>
        <v/>
      </c>
      <c r="O136" s="62">
        <f>IF($B136="","",IFERROR(IFERROR(INDEX('Konstanten'!$B$6:$B$10,MATCH($I136,'Konstanten'!$A$6:$A$10,1))+($I136-INDEX('Konstanten'!$A$6:$A$10,MATCH($I136,'Konstanten'!$A$6:$A$10,1)))/(INDEX('Konstanten'!$A$6:$A$10,MATCH($I136,'Konstanten'!$A$6:$A$10,1)+1)-INDEX('Konstanten'!$A$6:$A$10,MATCH($I136,'Konstanten'!$A$6:$A$10,1)))*(INDEX('Konstanten'!$B$6:$B$10,MATCH($I136,'Konstanten'!$A$6:$A$10,1)+1)-INDEX('Konstanten'!$B$6:$B$10,MATCH($I136,'Konstanten'!$A$6:$A$10,1))),INDEX('Konstanten'!$B$6:$B$10,MATCH($I136,'Konstanten'!$A$6:$A$10,1))),""))</f>
        <v/>
      </c>
      <c r="P136" s="62">
        <f>IF($B136="","",IFERROR(IFERROR(INDEX('Konstanten'!$C$6:$C$10,MATCH($I136,'Konstanten'!$A$6:$A$10,1))+($I136-INDEX('Konstanten'!$A$6:$A$10,MATCH($I136,'Konstanten'!$A$6:$A$10,1)))/(INDEX('Konstanten'!$A$6:$A$10,MATCH($I136,'Konstanten'!$A$6:$A$10,1)+1)-INDEX('Konstanten'!$A$6:$A$10,MATCH($I136,'Konstanten'!$A$6:$A$10,1)))*(INDEX('Konstanten'!$C$6:$C$10,MATCH($I136,'Konstanten'!$A$6:$A$10,1)+1)-INDEX('Konstanten'!$C$6:$C$10,MATCH($I136,'Konstanten'!$A$6:$A$10,1))),INDEX('Konstanten'!$C$6:$C$10,MATCH($I136,'Konstanten'!$A$6:$A$10,1))),""))</f>
        <v/>
      </c>
      <c r="Q136" s="63">
        <f>IF(OR($B136="",$N136="",$O136="",$P136=""),"",'Konstanten'!$C$13*$O136*$P136^(1-($J136/1000)/0.075)*'Konstanten'!$C$14^'Konstanten'!$C$16*'Konstanten'!$C$15^'Konstanten'!$C$17*$N136)</f>
        <v/>
      </c>
      <c r="R136" s="64">
        <f>IF(OR($B136="",$Q136=""),"",$E136+$Q136/'Grundeinstellungen'!$J$6)</f>
        <v/>
      </c>
      <c r="S136" s="64">
        <f>IF($B136="","",IFERROR(VLOOKUP($M136,'Konstanten'!$H$6:$I$13,2,FALSE),29))</f>
        <v/>
      </c>
      <c r="T136" s="65">
        <f>IF(OR($B136="",$Q136=""),"",$Q136*$H136)</f>
        <v/>
      </c>
      <c r="U136" s="66">
        <f>IF(OR($B136="",$T136=""),"",$T136-$F136)</f>
        <v/>
      </c>
      <c r="V136" s="67">
        <f>IF(OR($B136="",$T136=""),"",IFERROR($T136/$F136,""))</f>
        <v/>
      </c>
      <c r="W136" s="65">
        <f>IF(OR($B136="",$H136=""),"",'Grundeinstellungen'!$J$13*$H136)</f>
        <v/>
      </c>
      <c r="X136" s="65">
        <f>IF(OR($B136="",$T136=""),"",MIN($T136,$F136)+$W136)</f>
        <v/>
      </c>
      <c r="Y136" s="68">
        <f>IF($B136="","",IFERROR($H136/($J136/1000),""))</f>
        <v/>
      </c>
      <c r="Z136" s="68">
        <f>IF($B136="","",IFERROR(2*$L136*$K136,""))</f>
        <v/>
      </c>
      <c r="AA136" s="68">
        <f>IF(OR($B136="",$Y136="",$Z136=""),"",$Y136+$Z136)</f>
        <v/>
      </c>
      <c r="AB136" s="68">
        <f>IF(OR($B136="",$AA136=""),"",IFERROR($AA136/$K136,""))</f>
        <v/>
      </c>
      <c r="AC136" s="69">
        <f>IF(OR($B136="",$X136=""),"",IFERROR(($X136/$K136)/('Grundeinstellungen'!$C$16*('Grundeinstellungen'!$C$6-'Grundeinstellungen'!$C$7))*3600,""))</f>
        <v/>
      </c>
      <c r="AD136" s="70">
        <f>IF(OR($B136="",$AC136=""),"",$AC136/'Grundeinstellungen'!$C$15*1000)</f>
        <v/>
      </c>
      <c r="AE136" s="71">
        <f>IF(OR($B136="",$AC136=""),"",IFERROR($AC136/3600/'Grundeinstellungen'!$C$15/'Grundeinstellungen'!$J$22,""))</f>
        <v/>
      </c>
      <c r="AF136" s="72">
        <f>IF(OR($B136="",$AE136=""),"",IFERROR($AE136*'Grundeinstellungen'!$J$21/'Grundeinstellungen'!$C$17,""))</f>
        <v/>
      </c>
      <c r="AG136" s="73">
        <f>IF(OR($B136="",$AF136=""),"",IF($AF136&lt;2300,"laminar",IF($AF136&lt;4000,"Übergangsbereich","turbulent")))</f>
        <v/>
      </c>
      <c r="AH136" s="74">
        <f>IF(OR($B136="",$AF136=""),"",IF($AF136&lt;2300,64/$AF136,0.316/$AF136^0.25))</f>
        <v/>
      </c>
      <c r="AI136" s="75">
        <f>IF(OR($B136="",$AH136="",$AB136=""),"",IFERROR($AH136*($AB136/'Grundeinstellungen'!$J$21)*('Grundeinstellungen'!$C$15/2)*$AE136^2,""))</f>
        <v/>
      </c>
      <c r="AJ136" s="76">
        <f>IF(OR($B136="",$AI136="",$AB136=""),"",IFERROR($AI136/$AB136,""))</f>
        <v/>
      </c>
      <c r="AK136" s="75">
        <f>IF(OR($B136="",$AI136=""),"",$AI136*(1+'Grundeinstellungen'!$C$24)+'Grundeinstellungen'!$C$25)</f>
        <v/>
      </c>
    </row>
    <row r="137">
      <c r="A137" s="51" t="n"/>
      <c r="B137" s="51" t="n"/>
      <c r="C137" s="51" t="n"/>
      <c r="D137" s="52" t="n"/>
      <c r="E137" s="53" t="n"/>
      <c r="F137" s="54" t="n"/>
      <c r="G137" s="55">
        <f>IF($B137="","",IFERROR($F137/$D137,""))</f>
        <v/>
      </c>
      <c r="H137" s="52" t="n"/>
      <c r="I137" s="56" t="n"/>
      <c r="J137" s="57" t="n"/>
      <c r="K137" s="58" t="n"/>
      <c r="L137" s="59" t="n"/>
      <c r="M137" s="60" t="n"/>
      <c r="N137" s="61">
        <f>IF($B137="","",IFERROR(('Grundeinstellungen'!$C$6-'Grundeinstellungen'!$C$7)/LN(('Grundeinstellungen'!$C$6-$E137)/('Grundeinstellungen'!$C$7-$E137)),""))</f>
        <v/>
      </c>
      <c r="O137" s="62">
        <f>IF($B137="","",IFERROR(IFERROR(INDEX('Konstanten'!$B$6:$B$10,MATCH($I137,'Konstanten'!$A$6:$A$10,1))+($I137-INDEX('Konstanten'!$A$6:$A$10,MATCH($I137,'Konstanten'!$A$6:$A$10,1)))/(INDEX('Konstanten'!$A$6:$A$10,MATCH($I137,'Konstanten'!$A$6:$A$10,1)+1)-INDEX('Konstanten'!$A$6:$A$10,MATCH($I137,'Konstanten'!$A$6:$A$10,1)))*(INDEX('Konstanten'!$B$6:$B$10,MATCH($I137,'Konstanten'!$A$6:$A$10,1)+1)-INDEX('Konstanten'!$B$6:$B$10,MATCH($I137,'Konstanten'!$A$6:$A$10,1))),INDEX('Konstanten'!$B$6:$B$10,MATCH($I137,'Konstanten'!$A$6:$A$10,1))),""))</f>
        <v/>
      </c>
      <c r="P137" s="62">
        <f>IF($B137="","",IFERROR(IFERROR(INDEX('Konstanten'!$C$6:$C$10,MATCH($I137,'Konstanten'!$A$6:$A$10,1))+($I137-INDEX('Konstanten'!$A$6:$A$10,MATCH($I137,'Konstanten'!$A$6:$A$10,1)))/(INDEX('Konstanten'!$A$6:$A$10,MATCH($I137,'Konstanten'!$A$6:$A$10,1)+1)-INDEX('Konstanten'!$A$6:$A$10,MATCH($I137,'Konstanten'!$A$6:$A$10,1)))*(INDEX('Konstanten'!$C$6:$C$10,MATCH($I137,'Konstanten'!$A$6:$A$10,1)+1)-INDEX('Konstanten'!$C$6:$C$10,MATCH($I137,'Konstanten'!$A$6:$A$10,1))),INDEX('Konstanten'!$C$6:$C$10,MATCH($I137,'Konstanten'!$A$6:$A$10,1))),""))</f>
        <v/>
      </c>
      <c r="Q137" s="63">
        <f>IF(OR($B137="",$N137="",$O137="",$P137=""),"",'Konstanten'!$C$13*$O137*$P137^(1-($J137/1000)/0.075)*'Konstanten'!$C$14^'Konstanten'!$C$16*'Konstanten'!$C$15^'Konstanten'!$C$17*$N137)</f>
        <v/>
      </c>
      <c r="R137" s="64">
        <f>IF(OR($B137="",$Q137=""),"",$E137+$Q137/'Grundeinstellungen'!$J$6)</f>
        <v/>
      </c>
      <c r="S137" s="64">
        <f>IF($B137="","",IFERROR(VLOOKUP($M137,'Konstanten'!$H$6:$I$13,2,FALSE),29))</f>
        <v/>
      </c>
      <c r="T137" s="65">
        <f>IF(OR($B137="",$Q137=""),"",$Q137*$H137)</f>
        <v/>
      </c>
      <c r="U137" s="66">
        <f>IF(OR($B137="",$T137=""),"",$T137-$F137)</f>
        <v/>
      </c>
      <c r="V137" s="67">
        <f>IF(OR($B137="",$T137=""),"",IFERROR($T137/$F137,""))</f>
        <v/>
      </c>
      <c r="W137" s="65">
        <f>IF(OR($B137="",$H137=""),"",'Grundeinstellungen'!$J$13*$H137)</f>
        <v/>
      </c>
      <c r="X137" s="65">
        <f>IF(OR($B137="",$T137=""),"",MIN($T137,$F137)+$W137)</f>
        <v/>
      </c>
      <c r="Y137" s="68">
        <f>IF($B137="","",IFERROR($H137/($J137/1000),""))</f>
        <v/>
      </c>
      <c r="Z137" s="68">
        <f>IF($B137="","",IFERROR(2*$L137*$K137,""))</f>
        <v/>
      </c>
      <c r="AA137" s="68">
        <f>IF(OR($B137="",$Y137="",$Z137=""),"",$Y137+$Z137)</f>
        <v/>
      </c>
      <c r="AB137" s="68">
        <f>IF(OR($B137="",$AA137=""),"",IFERROR($AA137/$K137,""))</f>
        <v/>
      </c>
      <c r="AC137" s="69">
        <f>IF(OR($B137="",$X137=""),"",IFERROR(($X137/$K137)/('Grundeinstellungen'!$C$16*('Grundeinstellungen'!$C$6-'Grundeinstellungen'!$C$7))*3600,""))</f>
        <v/>
      </c>
      <c r="AD137" s="70">
        <f>IF(OR($B137="",$AC137=""),"",$AC137/'Grundeinstellungen'!$C$15*1000)</f>
        <v/>
      </c>
      <c r="AE137" s="71">
        <f>IF(OR($B137="",$AC137=""),"",IFERROR($AC137/3600/'Grundeinstellungen'!$C$15/'Grundeinstellungen'!$J$22,""))</f>
        <v/>
      </c>
      <c r="AF137" s="72">
        <f>IF(OR($B137="",$AE137=""),"",IFERROR($AE137*'Grundeinstellungen'!$J$21/'Grundeinstellungen'!$C$17,""))</f>
        <v/>
      </c>
      <c r="AG137" s="73">
        <f>IF(OR($B137="",$AF137=""),"",IF($AF137&lt;2300,"laminar",IF($AF137&lt;4000,"Übergangsbereich","turbulent")))</f>
        <v/>
      </c>
      <c r="AH137" s="74">
        <f>IF(OR($B137="",$AF137=""),"",IF($AF137&lt;2300,64/$AF137,0.316/$AF137^0.25))</f>
        <v/>
      </c>
      <c r="AI137" s="75">
        <f>IF(OR($B137="",$AH137="",$AB137=""),"",IFERROR($AH137*($AB137/'Grundeinstellungen'!$J$21)*('Grundeinstellungen'!$C$15/2)*$AE137^2,""))</f>
        <v/>
      </c>
      <c r="AJ137" s="76">
        <f>IF(OR($B137="",$AI137="",$AB137=""),"",IFERROR($AI137/$AB137,""))</f>
        <v/>
      </c>
      <c r="AK137" s="75">
        <f>IF(OR($B137="",$AI137=""),"",$AI137*(1+'Grundeinstellungen'!$C$24)+'Grundeinstellungen'!$C$25)</f>
        <v/>
      </c>
    </row>
    <row r="138">
      <c r="A138" s="51" t="n"/>
      <c r="B138" s="51" t="n"/>
      <c r="C138" s="51" t="n"/>
      <c r="D138" s="52" t="n"/>
      <c r="E138" s="53" t="n"/>
      <c r="F138" s="54" t="n"/>
      <c r="G138" s="55">
        <f>IF($B138="","",IFERROR($F138/$D138,""))</f>
        <v/>
      </c>
      <c r="H138" s="52" t="n"/>
      <c r="I138" s="56" t="n"/>
      <c r="J138" s="57" t="n"/>
      <c r="K138" s="58" t="n"/>
      <c r="L138" s="59" t="n"/>
      <c r="M138" s="60" t="n"/>
      <c r="N138" s="61">
        <f>IF($B138="","",IFERROR(('Grundeinstellungen'!$C$6-'Grundeinstellungen'!$C$7)/LN(('Grundeinstellungen'!$C$6-$E138)/('Grundeinstellungen'!$C$7-$E138)),""))</f>
        <v/>
      </c>
      <c r="O138" s="62">
        <f>IF($B138="","",IFERROR(IFERROR(INDEX('Konstanten'!$B$6:$B$10,MATCH($I138,'Konstanten'!$A$6:$A$10,1))+($I138-INDEX('Konstanten'!$A$6:$A$10,MATCH($I138,'Konstanten'!$A$6:$A$10,1)))/(INDEX('Konstanten'!$A$6:$A$10,MATCH($I138,'Konstanten'!$A$6:$A$10,1)+1)-INDEX('Konstanten'!$A$6:$A$10,MATCH($I138,'Konstanten'!$A$6:$A$10,1)))*(INDEX('Konstanten'!$B$6:$B$10,MATCH($I138,'Konstanten'!$A$6:$A$10,1)+1)-INDEX('Konstanten'!$B$6:$B$10,MATCH($I138,'Konstanten'!$A$6:$A$10,1))),INDEX('Konstanten'!$B$6:$B$10,MATCH($I138,'Konstanten'!$A$6:$A$10,1))),""))</f>
        <v/>
      </c>
      <c r="P138" s="62">
        <f>IF($B138="","",IFERROR(IFERROR(INDEX('Konstanten'!$C$6:$C$10,MATCH($I138,'Konstanten'!$A$6:$A$10,1))+($I138-INDEX('Konstanten'!$A$6:$A$10,MATCH($I138,'Konstanten'!$A$6:$A$10,1)))/(INDEX('Konstanten'!$A$6:$A$10,MATCH($I138,'Konstanten'!$A$6:$A$10,1)+1)-INDEX('Konstanten'!$A$6:$A$10,MATCH($I138,'Konstanten'!$A$6:$A$10,1)))*(INDEX('Konstanten'!$C$6:$C$10,MATCH($I138,'Konstanten'!$A$6:$A$10,1)+1)-INDEX('Konstanten'!$C$6:$C$10,MATCH($I138,'Konstanten'!$A$6:$A$10,1))),INDEX('Konstanten'!$C$6:$C$10,MATCH($I138,'Konstanten'!$A$6:$A$10,1))),""))</f>
        <v/>
      </c>
      <c r="Q138" s="63">
        <f>IF(OR($B138="",$N138="",$O138="",$P138=""),"",'Konstanten'!$C$13*$O138*$P138^(1-($J138/1000)/0.075)*'Konstanten'!$C$14^'Konstanten'!$C$16*'Konstanten'!$C$15^'Konstanten'!$C$17*$N138)</f>
        <v/>
      </c>
      <c r="R138" s="64">
        <f>IF(OR($B138="",$Q138=""),"",$E138+$Q138/'Grundeinstellungen'!$J$6)</f>
        <v/>
      </c>
      <c r="S138" s="64">
        <f>IF($B138="","",IFERROR(VLOOKUP($M138,'Konstanten'!$H$6:$I$13,2,FALSE),29))</f>
        <v/>
      </c>
      <c r="T138" s="65">
        <f>IF(OR($B138="",$Q138=""),"",$Q138*$H138)</f>
        <v/>
      </c>
      <c r="U138" s="66">
        <f>IF(OR($B138="",$T138=""),"",$T138-$F138)</f>
        <v/>
      </c>
      <c r="V138" s="67">
        <f>IF(OR($B138="",$T138=""),"",IFERROR($T138/$F138,""))</f>
        <v/>
      </c>
      <c r="W138" s="65">
        <f>IF(OR($B138="",$H138=""),"",'Grundeinstellungen'!$J$13*$H138)</f>
        <v/>
      </c>
      <c r="X138" s="65">
        <f>IF(OR($B138="",$T138=""),"",MIN($T138,$F138)+$W138)</f>
        <v/>
      </c>
      <c r="Y138" s="68">
        <f>IF($B138="","",IFERROR($H138/($J138/1000),""))</f>
        <v/>
      </c>
      <c r="Z138" s="68">
        <f>IF($B138="","",IFERROR(2*$L138*$K138,""))</f>
        <v/>
      </c>
      <c r="AA138" s="68">
        <f>IF(OR($B138="",$Y138="",$Z138=""),"",$Y138+$Z138)</f>
        <v/>
      </c>
      <c r="AB138" s="68">
        <f>IF(OR($B138="",$AA138=""),"",IFERROR($AA138/$K138,""))</f>
        <v/>
      </c>
      <c r="AC138" s="69">
        <f>IF(OR($B138="",$X138=""),"",IFERROR(($X138/$K138)/('Grundeinstellungen'!$C$16*('Grundeinstellungen'!$C$6-'Grundeinstellungen'!$C$7))*3600,""))</f>
        <v/>
      </c>
      <c r="AD138" s="70">
        <f>IF(OR($B138="",$AC138=""),"",$AC138/'Grundeinstellungen'!$C$15*1000)</f>
        <v/>
      </c>
      <c r="AE138" s="71">
        <f>IF(OR($B138="",$AC138=""),"",IFERROR($AC138/3600/'Grundeinstellungen'!$C$15/'Grundeinstellungen'!$J$22,""))</f>
        <v/>
      </c>
      <c r="AF138" s="72">
        <f>IF(OR($B138="",$AE138=""),"",IFERROR($AE138*'Grundeinstellungen'!$J$21/'Grundeinstellungen'!$C$17,""))</f>
        <v/>
      </c>
      <c r="AG138" s="73">
        <f>IF(OR($B138="",$AF138=""),"",IF($AF138&lt;2300,"laminar",IF($AF138&lt;4000,"Übergangsbereich","turbulent")))</f>
        <v/>
      </c>
      <c r="AH138" s="74">
        <f>IF(OR($B138="",$AF138=""),"",IF($AF138&lt;2300,64/$AF138,0.316/$AF138^0.25))</f>
        <v/>
      </c>
      <c r="AI138" s="75">
        <f>IF(OR($B138="",$AH138="",$AB138=""),"",IFERROR($AH138*($AB138/'Grundeinstellungen'!$J$21)*('Grundeinstellungen'!$C$15/2)*$AE138^2,""))</f>
        <v/>
      </c>
      <c r="AJ138" s="76">
        <f>IF(OR($B138="",$AI138="",$AB138=""),"",IFERROR($AI138/$AB138,""))</f>
        <v/>
      </c>
      <c r="AK138" s="75">
        <f>IF(OR($B138="",$AI138=""),"",$AI138*(1+'Grundeinstellungen'!$C$24)+'Grundeinstellungen'!$C$25)</f>
        <v/>
      </c>
    </row>
    <row r="139">
      <c r="A139" s="51" t="n"/>
      <c r="B139" s="51" t="n"/>
      <c r="C139" s="51" t="n"/>
      <c r="D139" s="52" t="n"/>
      <c r="E139" s="53" t="n"/>
      <c r="F139" s="54" t="n"/>
      <c r="G139" s="55">
        <f>IF($B139="","",IFERROR($F139/$D139,""))</f>
        <v/>
      </c>
      <c r="H139" s="52" t="n"/>
      <c r="I139" s="56" t="n"/>
      <c r="J139" s="57" t="n"/>
      <c r="K139" s="58" t="n"/>
      <c r="L139" s="59" t="n"/>
      <c r="M139" s="60" t="n"/>
      <c r="N139" s="61">
        <f>IF($B139="","",IFERROR(('Grundeinstellungen'!$C$6-'Grundeinstellungen'!$C$7)/LN(('Grundeinstellungen'!$C$6-$E139)/('Grundeinstellungen'!$C$7-$E139)),""))</f>
        <v/>
      </c>
      <c r="O139" s="62">
        <f>IF($B139="","",IFERROR(IFERROR(INDEX('Konstanten'!$B$6:$B$10,MATCH($I139,'Konstanten'!$A$6:$A$10,1))+($I139-INDEX('Konstanten'!$A$6:$A$10,MATCH($I139,'Konstanten'!$A$6:$A$10,1)))/(INDEX('Konstanten'!$A$6:$A$10,MATCH($I139,'Konstanten'!$A$6:$A$10,1)+1)-INDEX('Konstanten'!$A$6:$A$10,MATCH($I139,'Konstanten'!$A$6:$A$10,1)))*(INDEX('Konstanten'!$B$6:$B$10,MATCH($I139,'Konstanten'!$A$6:$A$10,1)+1)-INDEX('Konstanten'!$B$6:$B$10,MATCH($I139,'Konstanten'!$A$6:$A$10,1))),INDEX('Konstanten'!$B$6:$B$10,MATCH($I139,'Konstanten'!$A$6:$A$10,1))),""))</f>
        <v/>
      </c>
      <c r="P139" s="62">
        <f>IF($B139="","",IFERROR(IFERROR(INDEX('Konstanten'!$C$6:$C$10,MATCH($I139,'Konstanten'!$A$6:$A$10,1))+($I139-INDEX('Konstanten'!$A$6:$A$10,MATCH($I139,'Konstanten'!$A$6:$A$10,1)))/(INDEX('Konstanten'!$A$6:$A$10,MATCH($I139,'Konstanten'!$A$6:$A$10,1)+1)-INDEX('Konstanten'!$A$6:$A$10,MATCH($I139,'Konstanten'!$A$6:$A$10,1)))*(INDEX('Konstanten'!$C$6:$C$10,MATCH($I139,'Konstanten'!$A$6:$A$10,1)+1)-INDEX('Konstanten'!$C$6:$C$10,MATCH($I139,'Konstanten'!$A$6:$A$10,1))),INDEX('Konstanten'!$C$6:$C$10,MATCH($I139,'Konstanten'!$A$6:$A$10,1))),""))</f>
        <v/>
      </c>
      <c r="Q139" s="63">
        <f>IF(OR($B139="",$N139="",$O139="",$P139=""),"",'Konstanten'!$C$13*$O139*$P139^(1-($J139/1000)/0.075)*'Konstanten'!$C$14^'Konstanten'!$C$16*'Konstanten'!$C$15^'Konstanten'!$C$17*$N139)</f>
        <v/>
      </c>
      <c r="R139" s="64">
        <f>IF(OR($B139="",$Q139=""),"",$E139+$Q139/'Grundeinstellungen'!$J$6)</f>
        <v/>
      </c>
      <c r="S139" s="64">
        <f>IF($B139="","",IFERROR(VLOOKUP($M139,'Konstanten'!$H$6:$I$13,2,FALSE),29))</f>
        <v/>
      </c>
      <c r="T139" s="65">
        <f>IF(OR($B139="",$Q139=""),"",$Q139*$H139)</f>
        <v/>
      </c>
      <c r="U139" s="66">
        <f>IF(OR($B139="",$T139=""),"",$T139-$F139)</f>
        <v/>
      </c>
      <c r="V139" s="67">
        <f>IF(OR($B139="",$T139=""),"",IFERROR($T139/$F139,""))</f>
        <v/>
      </c>
      <c r="W139" s="65">
        <f>IF(OR($B139="",$H139=""),"",'Grundeinstellungen'!$J$13*$H139)</f>
        <v/>
      </c>
      <c r="X139" s="65">
        <f>IF(OR($B139="",$T139=""),"",MIN($T139,$F139)+$W139)</f>
        <v/>
      </c>
      <c r="Y139" s="68">
        <f>IF($B139="","",IFERROR($H139/($J139/1000),""))</f>
        <v/>
      </c>
      <c r="Z139" s="68">
        <f>IF($B139="","",IFERROR(2*$L139*$K139,""))</f>
        <v/>
      </c>
      <c r="AA139" s="68">
        <f>IF(OR($B139="",$Y139="",$Z139=""),"",$Y139+$Z139)</f>
        <v/>
      </c>
      <c r="AB139" s="68">
        <f>IF(OR($B139="",$AA139=""),"",IFERROR($AA139/$K139,""))</f>
        <v/>
      </c>
      <c r="AC139" s="69">
        <f>IF(OR($B139="",$X139=""),"",IFERROR(($X139/$K139)/('Grundeinstellungen'!$C$16*('Grundeinstellungen'!$C$6-'Grundeinstellungen'!$C$7))*3600,""))</f>
        <v/>
      </c>
      <c r="AD139" s="70">
        <f>IF(OR($B139="",$AC139=""),"",$AC139/'Grundeinstellungen'!$C$15*1000)</f>
        <v/>
      </c>
      <c r="AE139" s="71">
        <f>IF(OR($B139="",$AC139=""),"",IFERROR($AC139/3600/'Grundeinstellungen'!$C$15/'Grundeinstellungen'!$J$22,""))</f>
        <v/>
      </c>
      <c r="AF139" s="72">
        <f>IF(OR($B139="",$AE139=""),"",IFERROR($AE139*'Grundeinstellungen'!$J$21/'Grundeinstellungen'!$C$17,""))</f>
        <v/>
      </c>
      <c r="AG139" s="73">
        <f>IF(OR($B139="",$AF139=""),"",IF($AF139&lt;2300,"laminar",IF($AF139&lt;4000,"Übergangsbereich","turbulent")))</f>
        <v/>
      </c>
      <c r="AH139" s="74">
        <f>IF(OR($B139="",$AF139=""),"",IF($AF139&lt;2300,64/$AF139,0.316/$AF139^0.25))</f>
        <v/>
      </c>
      <c r="AI139" s="75">
        <f>IF(OR($B139="",$AH139="",$AB139=""),"",IFERROR($AH139*($AB139/'Grundeinstellungen'!$J$21)*('Grundeinstellungen'!$C$15/2)*$AE139^2,""))</f>
        <v/>
      </c>
      <c r="AJ139" s="76">
        <f>IF(OR($B139="",$AI139="",$AB139=""),"",IFERROR($AI139/$AB139,""))</f>
        <v/>
      </c>
      <c r="AK139" s="75">
        <f>IF(OR($B139="",$AI139=""),"",$AI139*(1+'Grundeinstellungen'!$C$24)+'Grundeinstellungen'!$C$25)</f>
        <v/>
      </c>
    </row>
    <row r="140">
      <c r="A140" s="51" t="n"/>
      <c r="B140" s="51" t="n"/>
      <c r="C140" s="51" t="n"/>
      <c r="D140" s="52" t="n"/>
      <c r="E140" s="53" t="n"/>
      <c r="F140" s="54" t="n"/>
      <c r="G140" s="55">
        <f>IF($B140="","",IFERROR($F140/$D140,""))</f>
        <v/>
      </c>
      <c r="H140" s="52" t="n"/>
      <c r="I140" s="56" t="n"/>
      <c r="J140" s="57" t="n"/>
      <c r="K140" s="58" t="n"/>
      <c r="L140" s="59" t="n"/>
      <c r="M140" s="60" t="n"/>
      <c r="N140" s="61">
        <f>IF($B140="","",IFERROR(('Grundeinstellungen'!$C$6-'Grundeinstellungen'!$C$7)/LN(('Grundeinstellungen'!$C$6-$E140)/('Grundeinstellungen'!$C$7-$E140)),""))</f>
        <v/>
      </c>
      <c r="O140" s="62">
        <f>IF($B140="","",IFERROR(IFERROR(INDEX('Konstanten'!$B$6:$B$10,MATCH($I140,'Konstanten'!$A$6:$A$10,1))+($I140-INDEX('Konstanten'!$A$6:$A$10,MATCH($I140,'Konstanten'!$A$6:$A$10,1)))/(INDEX('Konstanten'!$A$6:$A$10,MATCH($I140,'Konstanten'!$A$6:$A$10,1)+1)-INDEX('Konstanten'!$A$6:$A$10,MATCH($I140,'Konstanten'!$A$6:$A$10,1)))*(INDEX('Konstanten'!$B$6:$B$10,MATCH($I140,'Konstanten'!$A$6:$A$10,1)+1)-INDEX('Konstanten'!$B$6:$B$10,MATCH($I140,'Konstanten'!$A$6:$A$10,1))),INDEX('Konstanten'!$B$6:$B$10,MATCH($I140,'Konstanten'!$A$6:$A$10,1))),""))</f>
        <v/>
      </c>
      <c r="P140" s="62">
        <f>IF($B140="","",IFERROR(IFERROR(INDEX('Konstanten'!$C$6:$C$10,MATCH($I140,'Konstanten'!$A$6:$A$10,1))+($I140-INDEX('Konstanten'!$A$6:$A$10,MATCH($I140,'Konstanten'!$A$6:$A$10,1)))/(INDEX('Konstanten'!$A$6:$A$10,MATCH($I140,'Konstanten'!$A$6:$A$10,1)+1)-INDEX('Konstanten'!$A$6:$A$10,MATCH($I140,'Konstanten'!$A$6:$A$10,1)))*(INDEX('Konstanten'!$C$6:$C$10,MATCH($I140,'Konstanten'!$A$6:$A$10,1)+1)-INDEX('Konstanten'!$C$6:$C$10,MATCH($I140,'Konstanten'!$A$6:$A$10,1))),INDEX('Konstanten'!$C$6:$C$10,MATCH($I140,'Konstanten'!$A$6:$A$10,1))),""))</f>
        <v/>
      </c>
      <c r="Q140" s="63">
        <f>IF(OR($B140="",$N140="",$O140="",$P140=""),"",'Konstanten'!$C$13*$O140*$P140^(1-($J140/1000)/0.075)*'Konstanten'!$C$14^'Konstanten'!$C$16*'Konstanten'!$C$15^'Konstanten'!$C$17*$N140)</f>
        <v/>
      </c>
      <c r="R140" s="64">
        <f>IF(OR($B140="",$Q140=""),"",$E140+$Q140/'Grundeinstellungen'!$J$6)</f>
        <v/>
      </c>
      <c r="S140" s="64">
        <f>IF($B140="","",IFERROR(VLOOKUP($M140,'Konstanten'!$H$6:$I$13,2,FALSE),29))</f>
        <v/>
      </c>
      <c r="T140" s="65">
        <f>IF(OR($B140="",$Q140=""),"",$Q140*$H140)</f>
        <v/>
      </c>
      <c r="U140" s="66">
        <f>IF(OR($B140="",$T140=""),"",$T140-$F140)</f>
        <v/>
      </c>
      <c r="V140" s="67">
        <f>IF(OR($B140="",$T140=""),"",IFERROR($T140/$F140,""))</f>
        <v/>
      </c>
      <c r="W140" s="65">
        <f>IF(OR($B140="",$H140=""),"",'Grundeinstellungen'!$J$13*$H140)</f>
        <v/>
      </c>
      <c r="X140" s="65">
        <f>IF(OR($B140="",$T140=""),"",MIN($T140,$F140)+$W140)</f>
        <v/>
      </c>
      <c r="Y140" s="68">
        <f>IF($B140="","",IFERROR($H140/($J140/1000),""))</f>
        <v/>
      </c>
      <c r="Z140" s="68">
        <f>IF($B140="","",IFERROR(2*$L140*$K140,""))</f>
        <v/>
      </c>
      <c r="AA140" s="68">
        <f>IF(OR($B140="",$Y140="",$Z140=""),"",$Y140+$Z140)</f>
        <v/>
      </c>
      <c r="AB140" s="68">
        <f>IF(OR($B140="",$AA140=""),"",IFERROR($AA140/$K140,""))</f>
        <v/>
      </c>
      <c r="AC140" s="69">
        <f>IF(OR($B140="",$X140=""),"",IFERROR(($X140/$K140)/('Grundeinstellungen'!$C$16*('Grundeinstellungen'!$C$6-'Grundeinstellungen'!$C$7))*3600,""))</f>
        <v/>
      </c>
      <c r="AD140" s="70">
        <f>IF(OR($B140="",$AC140=""),"",$AC140/'Grundeinstellungen'!$C$15*1000)</f>
        <v/>
      </c>
      <c r="AE140" s="71">
        <f>IF(OR($B140="",$AC140=""),"",IFERROR($AC140/3600/'Grundeinstellungen'!$C$15/'Grundeinstellungen'!$J$22,""))</f>
        <v/>
      </c>
      <c r="AF140" s="72">
        <f>IF(OR($B140="",$AE140=""),"",IFERROR($AE140*'Grundeinstellungen'!$J$21/'Grundeinstellungen'!$C$17,""))</f>
        <v/>
      </c>
      <c r="AG140" s="73">
        <f>IF(OR($B140="",$AF140=""),"",IF($AF140&lt;2300,"laminar",IF($AF140&lt;4000,"Übergangsbereich","turbulent")))</f>
        <v/>
      </c>
      <c r="AH140" s="74">
        <f>IF(OR($B140="",$AF140=""),"",IF($AF140&lt;2300,64/$AF140,0.316/$AF140^0.25))</f>
        <v/>
      </c>
      <c r="AI140" s="75">
        <f>IF(OR($B140="",$AH140="",$AB140=""),"",IFERROR($AH140*($AB140/'Grundeinstellungen'!$J$21)*('Grundeinstellungen'!$C$15/2)*$AE140^2,""))</f>
        <v/>
      </c>
      <c r="AJ140" s="76">
        <f>IF(OR($B140="",$AI140="",$AB140=""),"",IFERROR($AI140/$AB140,""))</f>
        <v/>
      </c>
      <c r="AK140" s="75">
        <f>IF(OR($B140="",$AI140=""),"",$AI140*(1+'Grundeinstellungen'!$C$24)+'Grundeinstellungen'!$C$25)</f>
        <v/>
      </c>
    </row>
    <row r="141">
      <c r="A141" s="51" t="n"/>
      <c r="B141" s="51" t="n"/>
      <c r="C141" s="51" t="n"/>
      <c r="D141" s="52" t="n"/>
      <c r="E141" s="53" t="n"/>
      <c r="F141" s="54" t="n"/>
      <c r="G141" s="55">
        <f>IF($B141="","",IFERROR($F141/$D141,""))</f>
        <v/>
      </c>
      <c r="H141" s="52" t="n"/>
      <c r="I141" s="56" t="n"/>
      <c r="J141" s="57" t="n"/>
      <c r="K141" s="58" t="n"/>
      <c r="L141" s="59" t="n"/>
      <c r="M141" s="60" t="n"/>
      <c r="N141" s="61">
        <f>IF($B141="","",IFERROR(('Grundeinstellungen'!$C$6-'Grundeinstellungen'!$C$7)/LN(('Grundeinstellungen'!$C$6-$E141)/('Grundeinstellungen'!$C$7-$E141)),""))</f>
        <v/>
      </c>
      <c r="O141" s="62">
        <f>IF($B141="","",IFERROR(IFERROR(INDEX('Konstanten'!$B$6:$B$10,MATCH($I141,'Konstanten'!$A$6:$A$10,1))+($I141-INDEX('Konstanten'!$A$6:$A$10,MATCH($I141,'Konstanten'!$A$6:$A$10,1)))/(INDEX('Konstanten'!$A$6:$A$10,MATCH($I141,'Konstanten'!$A$6:$A$10,1)+1)-INDEX('Konstanten'!$A$6:$A$10,MATCH($I141,'Konstanten'!$A$6:$A$10,1)))*(INDEX('Konstanten'!$B$6:$B$10,MATCH($I141,'Konstanten'!$A$6:$A$10,1)+1)-INDEX('Konstanten'!$B$6:$B$10,MATCH($I141,'Konstanten'!$A$6:$A$10,1))),INDEX('Konstanten'!$B$6:$B$10,MATCH($I141,'Konstanten'!$A$6:$A$10,1))),""))</f>
        <v/>
      </c>
      <c r="P141" s="62">
        <f>IF($B141="","",IFERROR(IFERROR(INDEX('Konstanten'!$C$6:$C$10,MATCH($I141,'Konstanten'!$A$6:$A$10,1))+($I141-INDEX('Konstanten'!$A$6:$A$10,MATCH($I141,'Konstanten'!$A$6:$A$10,1)))/(INDEX('Konstanten'!$A$6:$A$10,MATCH($I141,'Konstanten'!$A$6:$A$10,1)+1)-INDEX('Konstanten'!$A$6:$A$10,MATCH($I141,'Konstanten'!$A$6:$A$10,1)))*(INDEX('Konstanten'!$C$6:$C$10,MATCH($I141,'Konstanten'!$A$6:$A$10,1)+1)-INDEX('Konstanten'!$C$6:$C$10,MATCH($I141,'Konstanten'!$A$6:$A$10,1))),INDEX('Konstanten'!$C$6:$C$10,MATCH($I141,'Konstanten'!$A$6:$A$10,1))),""))</f>
        <v/>
      </c>
      <c r="Q141" s="63">
        <f>IF(OR($B141="",$N141="",$O141="",$P141=""),"",'Konstanten'!$C$13*$O141*$P141^(1-($J141/1000)/0.075)*'Konstanten'!$C$14^'Konstanten'!$C$16*'Konstanten'!$C$15^'Konstanten'!$C$17*$N141)</f>
        <v/>
      </c>
      <c r="R141" s="64">
        <f>IF(OR($B141="",$Q141=""),"",$E141+$Q141/'Grundeinstellungen'!$J$6)</f>
        <v/>
      </c>
      <c r="S141" s="64">
        <f>IF($B141="","",IFERROR(VLOOKUP($M141,'Konstanten'!$H$6:$I$13,2,FALSE),29))</f>
        <v/>
      </c>
      <c r="T141" s="65">
        <f>IF(OR($B141="",$Q141=""),"",$Q141*$H141)</f>
        <v/>
      </c>
      <c r="U141" s="66">
        <f>IF(OR($B141="",$T141=""),"",$T141-$F141)</f>
        <v/>
      </c>
      <c r="V141" s="67">
        <f>IF(OR($B141="",$T141=""),"",IFERROR($T141/$F141,""))</f>
        <v/>
      </c>
      <c r="W141" s="65">
        <f>IF(OR($B141="",$H141=""),"",'Grundeinstellungen'!$J$13*$H141)</f>
        <v/>
      </c>
      <c r="X141" s="65">
        <f>IF(OR($B141="",$T141=""),"",MIN($T141,$F141)+$W141)</f>
        <v/>
      </c>
      <c r="Y141" s="68">
        <f>IF($B141="","",IFERROR($H141/($J141/1000),""))</f>
        <v/>
      </c>
      <c r="Z141" s="68">
        <f>IF($B141="","",IFERROR(2*$L141*$K141,""))</f>
        <v/>
      </c>
      <c r="AA141" s="68">
        <f>IF(OR($B141="",$Y141="",$Z141=""),"",$Y141+$Z141)</f>
        <v/>
      </c>
      <c r="AB141" s="68">
        <f>IF(OR($B141="",$AA141=""),"",IFERROR($AA141/$K141,""))</f>
        <v/>
      </c>
      <c r="AC141" s="69">
        <f>IF(OR($B141="",$X141=""),"",IFERROR(($X141/$K141)/('Grundeinstellungen'!$C$16*('Grundeinstellungen'!$C$6-'Grundeinstellungen'!$C$7))*3600,""))</f>
        <v/>
      </c>
      <c r="AD141" s="70">
        <f>IF(OR($B141="",$AC141=""),"",$AC141/'Grundeinstellungen'!$C$15*1000)</f>
        <v/>
      </c>
      <c r="AE141" s="71">
        <f>IF(OR($B141="",$AC141=""),"",IFERROR($AC141/3600/'Grundeinstellungen'!$C$15/'Grundeinstellungen'!$J$22,""))</f>
        <v/>
      </c>
      <c r="AF141" s="72">
        <f>IF(OR($B141="",$AE141=""),"",IFERROR($AE141*'Grundeinstellungen'!$J$21/'Grundeinstellungen'!$C$17,""))</f>
        <v/>
      </c>
      <c r="AG141" s="73">
        <f>IF(OR($B141="",$AF141=""),"",IF($AF141&lt;2300,"laminar",IF($AF141&lt;4000,"Übergangsbereich","turbulent")))</f>
        <v/>
      </c>
      <c r="AH141" s="74">
        <f>IF(OR($B141="",$AF141=""),"",IF($AF141&lt;2300,64/$AF141,0.316/$AF141^0.25))</f>
        <v/>
      </c>
      <c r="AI141" s="75">
        <f>IF(OR($B141="",$AH141="",$AB141=""),"",IFERROR($AH141*($AB141/'Grundeinstellungen'!$J$21)*('Grundeinstellungen'!$C$15/2)*$AE141^2,""))</f>
        <v/>
      </c>
      <c r="AJ141" s="76">
        <f>IF(OR($B141="",$AI141="",$AB141=""),"",IFERROR($AI141/$AB141,""))</f>
        <v/>
      </c>
      <c r="AK141" s="75">
        <f>IF(OR($B141="",$AI141=""),"",$AI141*(1+'Grundeinstellungen'!$C$24)+'Grundeinstellungen'!$C$25)</f>
        <v/>
      </c>
    </row>
    <row r="142">
      <c r="A142" s="51" t="n"/>
      <c r="B142" s="51" t="n"/>
      <c r="C142" s="51" t="n"/>
      <c r="D142" s="52" t="n"/>
      <c r="E142" s="53" t="n"/>
      <c r="F142" s="54" t="n"/>
      <c r="G142" s="55">
        <f>IF($B142="","",IFERROR($F142/$D142,""))</f>
        <v/>
      </c>
      <c r="H142" s="52" t="n"/>
      <c r="I142" s="56" t="n"/>
      <c r="J142" s="57" t="n"/>
      <c r="K142" s="58" t="n"/>
      <c r="L142" s="59" t="n"/>
      <c r="M142" s="60" t="n"/>
      <c r="N142" s="61">
        <f>IF($B142="","",IFERROR(('Grundeinstellungen'!$C$6-'Grundeinstellungen'!$C$7)/LN(('Grundeinstellungen'!$C$6-$E142)/('Grundeinstellungen'!$C$7-$E142)),""))</f>
        <v/>
      </c>
      <c r="O142" s="62">
        <f>IF($B142="","",IFERROR(IFERROR(INDEX('Konstanten'!$B$6:$B$10,MATCH($I142,'Konstanten'!$A$6:$A$10,1))+($I142-INDEX('Konstanten'!$A$6:$A$10,MATCH($I142,'Konstanten'!$A$6:$A$10,1)))/(INDEX('Konstanten'!$A$6:$A$10,MATCH($I142,'Konstanten'!$A$6:$A$10,1)+1)-INDEX('Konstanten'!$A$6:$A$10,MATCH($I142,'Konstanten'!$A$6:$A$10,1)))*(INDEX('Konstanten'!$B$6:$B$10,MATCH($I142,'Konstanten'!$A$6:$A$10,1)+1)-INDEX('Konstanten'!$B$6:$B$10,MATCH($I142,'Konstanten'!$A$6:$A$10,1))),INDEX('Konstanten'!$B$6:$B$10,MATCH($I142,'Konstanten'!$A$6:$A$10,1))),""))</f>
        <v/>
      </c>
      <c r="P142" s="62">
        <f>IF($B142="","",IFERROR(IFERROR(INDEX('Konstanten'!$C$6:$C$10,MATCH($I142,'Konstanten'!$A$6:$A$10,1))+($I142-INDEX('Konstanten'!$A$6:$A$10,MATCH($I142,'Konstanten'!$A$6:$A$10,1)))/(INDEX('Konstanten'!$A$6:$A$10,MATCH($I142,'Konstanten'!$A$6:$A$10,1)+1)-INDEX('Konstanten'!$A$6:$A$10,MATCH($I142,'Konstanten'!$A$6:$A$10,1)))*(INDEX('Konstanten'!$C$6:$C$10,MATCH($I142,'Konstanten'!$A$6:$A$10,1)+1)-INDEX('Konstanten'!$C$6:$C$10,MATCH($I142,'Konstanten'!$A$6:$A$10,1))),INDEX('Konstanten'!$C$6:$C$10,MATCH($I142,'Konstanten'!$A$6:$A$10,1))),""))</f>
        <v/>
      </c>
      <c r="Q142" s="63">
        <f>IF(OR($B142="",$N142="",$O142="",$P142=""),"",'Konstanten'!$C$13*$O142*$P142^(1-($J142/1000)/0.075)*'Konstanten'!$C$14^'Konstanten'!$C$16*'Konstanten'!$C$15^'Konstanten'!$C$17*$N142)</f>
        <v/>
      </c>
      <c r="R142" s="64">
        <f>IF(OR($B142="",$Q142=""),"",$E142+$Q142/'Grundeinstellungen'!$J$6)</f>
        <v/>
      </c>
      <c r="S142" s="64">
        <f>IF($B142="","",IFERROR(VLOOKUP($M142,'Konstanten'!$H$6:$I$13,2,FALSE),29))</f>
        <v/>
      </c>
      <c r="T142" s="65">
        <f>IF(OR($B142="",$Q142=""),"",$Q142*$H142)</f>
        <v/>
      </c>
      <c r="U142" s="66">
        <f>IF(OR($B142="",$T142=""),"",$T142-$F142)</f>
        <v/>
      </c>
      <c r="V142" s="67">
        <f>IF(OR($B142="",$T142=""),"",IFERROR($T142/$F142,""))</f>
        <v/>
      </c>
      <c r="W142" s="65">
        <f>IF(OR($B142="",$H142=""),"",'Grundeinstellungen'!$J$13*$H142)</f>
        <v/>
      </c>
      <c r="X142" s="65">
        <f>IF(OR($B142="",$T142=""),"",MIN($T142,$F142)+$W142)</f>
        <v/>
      </c>
      <c r="Y142" s="68">
        <f>IF($B142="","",IFERROR($H142/($J142/1000),""))</f>
        <v/>
      </c>
      <c r="Z142" s="68">
        <f>IF($B142="","",IFERROR(2*$L142*$K142,""))</f>
        <v/>
      </c>
      <c r="AA142" s="68">
        <f>IF(OR($B142="",$Y142="",$Z142=""),"",$Y142+$Z142)</f>
        <v/>
      </c>
      <c r="AB142" s="68">
        <f>IF(OR($B142="",$AA142=""),"",IFERROR($AA142/$K142,""))</f>
        <v/>
      </c>
      <c r="AC142" s="69">
        <f>IF(OR($B142="",$X142=""),"",IFERROR(($X142/$K142)/('Grundeinstellungen'!$C$16*('Grundeinstellungen'!$C$6-'Grundeinstellungen'!$C$7))*3600,""))</f>
        <v/>
      </c>
      <c r="AD142" s="70">
        <f>IF(OR($B142="",$AC142=""),"",$AC142/'Grundeinstellungen'!$C$15*1000)</f>
        <v/>
      </c>
      <c r="AE142" s="71">
        <f>IF(OR($B142="",$AC142=""),"",IFERROR($AC142/3600/'Grundeinstellungen'!$C$15/'Grundeinstellungen'!$J$22,""))</f>
        <v/>
      </c>
      <c r="AF142" s="72">
        <f>IF(OR($B142="",$AE142=""),"",IFERROR($AE142*'Grundeinstellungen'!$J$21/'Grundeinstellungen'!$C$17,""))</f>
        <v/>
      </c>
      <c r="AG142" s="73">
        <f>IF(OR($B142="",$AF142=""),"",IF($AF142&lt;2300,"laminar",IF($AF142&lt;4000,"Übergangsbereich","turbulent")))</f>
        <v/>
      </c>
      <c r="AH142" s="74">
        <f>IF(OR($B142="",$AF142=""),"",IF($AF142&lt;2300,64/$AF142,0.316/$AF142^0.25))</f>
        <v/>
      </c>
      <c r="AI142" s="75">
        <f>IF(OR($B142="",$AH142="",$AB142=""),"",IFERROR($AH142*($AB142/'Grundeinstellungen'!$J$21)*('Grundeinstellungen'!$C$15/2)*$AE142^2,""))</f>
        <v/>
      </c>
      <c r="AJ142" s="76">
        <f>IF(OR($B142="",$AI142="",$AB142=""),"",IFERROR($AI142/$AB142,""))</f>
        <v/>
      </c>
      <c r="AK142" s="75">
        <f>IF(OR($B142="",$AI142=""),"",$AI142*(1+'Grundeinstellungen'!$C$24)+'Grundeinstellungen'!$C$25)</f>
        <v/>
      </c>
    </row>
    <row r="143">
      <c r="A143" s="51" t="n"/>
      <c r="B143" s="51" t="n"/>
      <c r="C143" s="51" t="n"/>
      <c r="D143" s="52" t="n"/>
      <c r="E143" s="53" t="n"/>
      <c r="F143" s="54" t="n"/>
      <c r="G143" s="55">
        <f>IF($B143="","",IFERROR($F143/$D143,""))</f>
        <v/>
      </c>
      <c r="H143" s="52" t="n"/>
      <c r="I143" s="56" t="n"/>
      <c r="J143" s="57" t="n"/>
      <c r="K143" s="58" t="n"/>
      <c r="L143" s="59" t="n"/>
      <c r="M143" s="60" t="n"/>
      <c r="N143" s="61">
        <f>IF($B143="","",IFERROR(('Grundeinstellungen'!$C$6-'Grundeinstellungen'!$C$7)/LN(('Grundeinstellungen'!$C$6-$E143)/('Grundeinstellungen'!$C$7-$E143)),""))</f>
        <v/>
      </c>
      <c r="O143" s="62">
        <f>IF($B143="","",IFERROR(IFERROR(INDEX('Konstanten'!$B$6:$B$10,MATCH($I143,'Konstanten'!$A$6:$A$10,1))+($I143-INDEX('Konstanten'!$A$6:$A$10,MATCH($I143,'Konstanten'!$A$6:$A$10,1)))/(INDEX('Konstanten'!$A$6:$A$10,MATCH($I143,'Konstanten'!$A$6:$A$10,1)+1)-INDEX('Konstanten'!$A$6:$A$10,MATCH($I143,'Konstanten'!$A$6:$A$10,1)))*(INDEX('Konstanten'!$B$6:$B$10,MATCH($I143,'Konstanten'!$A$6:$A$10,1)+1)-INDEX('Konstanten'!$B$6:$B$10,MATCH($I143,'Konstanten'!$A$6:$A$10,1))),INDEX('Konstanten'!$B$6:$B$10,MATCH($I143,'Konstanten'!$A$6:$A$10,1))),""))</f>
        <v/>
      </c>
      <c r="P143" s="62">
        <f>IF($B143="","",IFERROR(IFERROR(INDEX('Konstanten'!$C$6:$C$10,MATCH($I143,'Konstanten'!$A$6:$A$10,1))+($I143-INDEX('Konstanten'!$A$6:$A$10,MATCH($I143,'Konstanten'!$A$6:$A$10,1)))/(INDEX('Konstanten'!$A$6:$A$10,MATCH($I143,'Konstanten'!$A$6:$A$10,1)+1)-INDEX('Konstanten'!$A$6:$A$10,MATCH($I143,'Konstanten'!$A$6:$A$10,1)))*(INDEX('Konstanten'!$C$6:$C$10,MATCH($I143,'Konstanten'!$A$6:$A$10,1)+1)-INDEX('Konstanten'!$C$6:$C$10,MATCH($I143,'Konstanten'!$A$6:$A$10,1))),INDEX('Konstanten'!$C$6:$C$10,MATCH($I143,'Konstanten'!$A$6:$A$10,1))),""))</f>
        <v/>
      </c>
      <c r="Q143" s="63">
        <f>IF(OR($B143="",$N143="",$O143="",$P143=""),"",'Konstanten'!$C$13*$O143*$P143^(1-($J143/1000)/0.075)*'Konstanten'!$C$14^'Konstanten'!$C$16*'Konstanten'!$C$15^'Konstanten'!$C$17*$N143)</f>
        <v/>
      </c>
      <c r="R143" s="64">
        <f>IF(OR($B143="",$Q143=""),"",$E143+$Q143/'Grundeinstellungen'!$J$6)</f>
        <v/>
      </c>
      <c r="S143" s="64">
        <f>IF($B143="","",IFERROR(VLOOKUP($M143,'Konstanten'!$H$6:$I$13,2,FALSE),29))</f>
        <v/>
      </c>
      <c r="T143" s="65">
        <f>IF(OR($B143="",$Q143=""),"",$Q143*$H143)</f>
        <v/>
      </c>
      <c r="U143" s="66">
        <f>IF(OR($B143="",$T143=""),"",$T143-$F143)</f>
        <v/>
      </c>
      <c r="V143" s="67">
        <f>IF(OR($B143="",$T143=""),"",IFERROR($T143/$F143,""))</f>
        <v/>
      </c>
      <c r="W143" s="65">
        <f>IF(OR($B143="",$H143=""),"",'Grundeinstellungen'!$J$13*$H143)</f>
        <v/>
      </c>
      <c r="X143" s="65">
        <f>IF(OR($B143="",$T143=""),"",MIN($T143,$F143)+$W143)</f>
        <v/>
      </c>
      <c r="Y143" s="68">
        <f>IF($B143="","",IFERROR($H143/($J143/1000),""))</f>
        <v/>
      </c>
      <c r="Z143" s="68">
        <f>IF($B143="","",IFERROR(2*$L143*$K143,""))</f>
        <v/>
      </c>
      <c r="AA143" s="68">
        <f>IF(OR($B143="",$Y143="",$Z143=""),"",$Y143+$Z143)</f>
        <v/>
      </c>
      <c r="AB143" s="68">
        <f>IF(OR($B143="",$AA143=""),"",IFERROR($AA143/$K143,""))</f>
        <v/>
      </c>
      <c r="AC143" s="69">
        <f>IF(OR($B143="",$X143=""),"",IFERROR(($X143/$K143)/('Grundeinstellungen'!$C$16*('Grundeinstellungen'!$C$6-'Grundeinstellungen'!$C$7))*3600,""))</f>
        <v/>
      </c>
      <c r="AD143" s="70">
        <f>IF(OR($B143="",$AC143=""),"",$AC143/'Grundeinstellungen'!$C$15*1000)</f>
        <v/>
      </c>
      <c r="AE143" s="71">
        <f>IF(OR($B143="",$AC143=""),"",IFERROR($AC143/3600/'Grundeinstellungen'!$C$15/'Grundeinstellungen'!$J$22,""))</f>
        <v/>
      </c>
      <c r="AF143" s="72">
        <f>IF(OR($B143="",$AE143=""),"",IFERROR($AE143*'Grundeinstellungen'!$J$21/'Grundeinstellungen'!$C$17,""))</f>
        <v/>
      </c>
      <c r="AG143" s="73">
        <f>IF(OR($B143="",$AF143=""),"",IF($AF143&lt;2300,"laminar",IF($AF143&lt;4000,"Übergangsbereich","turbulent")))</f>
        <v/>
      </c>
      <c r="AH143" s="74">
        <f>IF(OR($B143="",$AF143=""),"",IF($AF143&lt;2300,64/$AF143,0.316/$AF143^0.25))</f>
        <v/>
      </c>
      <c r="AI143" s="75">
        <f>IF(OR($B143="",$AH143="",$AB143=""),"",IFERROR($AH143*($AB143/'Grundeinstellungen'!$J$21)*('Grundeinstellungen'!$C$15/2)*$AE143^2,""))</f>
        <v/>
      </c>
      <c r="AJ143" s="76">
        <f>IF(OR($B143="",$AI143="",$AB143=""),"",IFERROR($AI143/$AB143,""))</f>
        <v/>
      </c>
      <c r="AK143" s="75">
        <f>IF(OR($B143="",$AI143=""),"",$AI143*(1+'Grundeinstellungen'!$C$24)+'Grundeinstellungen'!$C$25)</f>
        <v/>
      </c>
    </row>
    <row r="144">
      <c r="A144" s="51" t="n"/>
      <c r="B144" s="51" t="n"/>
      <c r="C144" s="51" t="n"/>
      <c r="D144" s="52" t="n"/>
      <c r="E144" s="53" t="n"/>
      <c r="F144" s="54" t="n"/>
      <c r="G144" s="55">
        <f>IF($B144="","",IFERROR($F144/$D144,""))</f>
        <v/>
      </c>
      <c r="H144" s="52" t="n"/>
      <c r="I144" s="56" t="n"/>
      <c r="J144" s="57" t="n"/>
      <c r="K144" s="58" t="n"/>
      <c r="L144" s="59" t="n"/>
      <c r="M144" s="60" t="n"/>
      <c r="N144" s="61">
        <f>IF($B144="","",IFERROR(('Grundeinstellungen'!$C$6-'Grundeinstellungen'!$C$7)/LN(('Grundeinstellungen'!$C$6-$E144)/('Grundeinstellungen'!$C$7-$E144)),""))</f>
        <v/>
      </c>
      <c r="O144" s="62">
        <f>IF($B144="","",IFERROR(IFERROR(INDEX('Konstanten'!$B$6:$B$10,MATCH($I144,'Konstanten'!$A$6:$A$10,1))+($I144-INDEX('Konstanten'!$A$6:$A$10,MATCH($I144,'Konstanten'!$A$6:$A$10,1)))/(INDEX('Konstanten'!$A$6:$A$10,MATCH($I144,'Konstanten'!$A$6:$A$10,1)+1)-INDEX('Konstanten'!$A$6:$A$10,MATCH($I144,'Konstanten'!$A$6:$A$10,1)))*(INDEX('Konstanten'!$B$6:$B$10,MATCH($I144,'Konstanten'!$A$6:$A$10,1)+1)-INDEX('Konstanten'!$B$6:$B$10,MATCH($I144,'Konstanten'!$A$6:$A$10,1))),INDEX('Konstanten'!$B$6:$B$10,MATCH($I144,'Konstanten'!$A$6:$A$10,1))),""))</f>
        <v/>
      </c>
      <c r="P144" s="62">
        <f>IF($B144="","",IFERROR(IFERROR(INDEX('Konstanten'!$C$6:$C$10,MATCH($I144,'Konstanten'!$A$6:$A$10,1))+($I144-INDEX('Konstanten'!$A$6:$A$10,MATCH($I144,'Konstanten'!$A$6:$A$10,1)))/(INDEX('Konstanten'!$A$6:$A$10,MATCH($I144,'Konstanten'!$A$6:$A$10,1)+1)-INDEX('Konstanten'!$A$6:$A$10,MATCH($I144,'Konstanten'!$A$6:$A$10,1)))*(INDEX('Konstanten'!$C$6:$C$10,MATCH($I144,'Konstanten'!$A$6:$A$10,1)+1)-INDEX('Konstanten'!$C$6:$C$10,MATCH($I144,'Konstanten'!$A$6:$A$10,1))),INDEX('Konstanten'!$C$6:$C$10,MATCH($I144,'Konstanten'!$A$6:$A$10,1))),""))</f>
        <v/>
      </c>
      <c r="Q144" s="63">
        <f>IF(OR($B144="",$N144="",$O144="",$P144=""),"",'Konstanten'!$C$13*$O144*$P144^(1-($J144/1000)/0.075)*'Konstanten'!$C$14^'Konstanten'!$C$16*'Konstanten'!$C$15^'Konstanten'!$C$17*$N144)</f>
        <v/>
      </c>
      <c r="R144" s="64">
        <f>IF(OR($B144="",$Q144=""),"",$E144+$Q144/'Grundeinstellungen'!$J$6)</f>
        <v/>
      </c>
      <c r="S144" s="64">
        <f>IF($B144="","",IFERROR(VLOOKUP($M144,'Konstanten'!$H$6:$I$13,2,FALSE),29))</f>
        <v/>
      </c>
      <c r="T144" s="65">
        <f>IF(OR($B144="",$Q144=""),"",$Q144*$H144)</f>
        <v/>
      </c>
      <c r="U144" s="66">
        <f>IF(OR($B144="",$T144=""),"",$T144-$F144)</f>
        <v/>
      </c>
      <c r="V144" s="67">
        <f>IF(OR($B144="",$T144=""),"",IFERROR($T144/$F144,""))</f>
        <v/>
      </c>
      <c r="W144" s="65">
        <f>IF(OR($B144="",$H144=""),"",'Grundeinstellungen'!$J$13*$H144)</f>
        <v/>
      </c>
      <c r="X144" s="65">
        <f>IF(OR($B144="",$T144=""),"",MIN($T144,$F144)+$W144)</f>
        <v/>
      </c>
      <c r="Y144" s="68">
        <f>IF($B144="","",IFERROR($H144/($J144/1000),""))</f>
        <v/>
      </c>
      <c r="Z144" s="68">
        <f>IF($B144="","",IFERROR(2*$L144*$K144,""))</f>
        <v/>
      </c>
      <c r="AA144" s="68">
        <f>IF(OR($B144="",$Y144="",$Z144=""),"",$Y144+$Z144)</f>
        <v/>
      </c>
      <c r="AB144" s="68">
        <f>IF(OR($B144="",$AA144=""),"",IFERROR($AA144/$K144,""))</f>
        <v/>
      </c>
      <c r="AC144" s="69">
        <f>IF(OR($B144="",$X144=""),"",IFERROR(($X144/$K144)/('Grundeinstellungen'!$C$16*('Grundeinstellungen'!$C$6-'Grundeinstellungen'!$C$7))*3600,""))</f>
        <v/>
      </c>
      <c r="AD144" s="70">
        <f>IF(OR($B144="",$AC144=""),"",$AC144/'Grundeinstellungen'!$C$15*1000)</f>
        <v/>
      </c>
      <c r="AE144" s="71">
        <f>IF(OR($B144="",$AC144=""),"",IFERROR($AC144/3600/'Grundeinstellungen'!$C$15/'Grundeinstellungen'!$J$22,""))</f>
        <v/>
      </c>
      <c r="AF144" s="72">
        <f>IF(OR($B144="",$AE144=""),"",IFERROR($AE144*'Grundeinstellungen'!$J$21/'Grundeinstellungen'!$C$17,""))</f>
        <v/>
      </c>
      <c r="AG144" s="73">
        <f>IF(OR($B144="",$AF144=""),"",IF($AF144&lt;2300,"laminar",IF($AF144&lt;4000,"Übergangsbereich","turbulent")))</f>
        <v/>
      </c>
      <c r="AH144" s="74">
        <f>IF(OR($B144="",$AF144=""),"",IF($AF144&lt;2300,64/$AF144,0.316/$AF144^0.25))</f>
        <v/>
      </c>
      <c r="AI144" s="75">
        <f>IF(OR($B144="",$AH144="",$AB144=""),"",IFERROR($AH144*($AB144/'Grundeinstellungen'!$J$21)*('Grundeinstellungen'!$C$15/2)*$AE144^2,""))</f>
        <v/>
      </c>
      <c r="AJ144" s="76">
        <f>IF(OR($B144="",$AI144="",$AB144=""),"",IFERROR($AI144/$AB144,""))</f>
        <v/>
      </c>
      <c r="AK144" s="75">
        <f>IF(OR($B144="",$AI144=""),"",$AI144*(1+'Grundeinstellungen'!$C$24)+'Grundeinstellungen'!$C$25)</f>
        <v/>
      </c>
    </row>
    <row r="145">
      <c r="A145" s="51" t="n"/>
      <c r="B145" s="51" t="n"/>
      <c r="C145" s="51" t="n"/>
      <c r="D145" s="52" t="n"/>
      <c r="E145" s="53" t="n"/>
      <c r="F145" s="54" t="n"/>
      <c r="G145" s="55">
        <f>IF($B145="","",IFERROR($F145/$D145,""))</f>
        <v/>
      </c>
      <c r="H145" s="52" t="n"/>
      <c r="I145" s="56" t="n"/>
      <c r="J145" s="57" t="n"/>
      <c r="K145" s="58" t="n"/>
      <c r="L145" s="59" t="n"/>
      <c r="M145" s="60" t="n"/>
      <c r="N145" s="61">
        <f>IF($B145="","",IFERROR(('Grundeinstellungen'!$C$6-'Grundeinstellungen'!$C$7)/LN(('Grundeinstellungen'!$C$6-$E145)/('Grundeinstellungen'!$C$7-$E145)),""))</f>
        <v/>
      </c>
      <c r="O145" s="62">
        <f>IF($B145="","",IFERROR(IFERROR(INDEX('Konstanten'!$B$6:$B$10,MATCH($I145,'Konstanten'!$A$6:$A$10,1))+($I145-INDEX('Konstanten'!$A$6:$A$10,MATCH($I145,'Konstanten'!$A$6:$A$10,1)))/(INDEX('Konstanten'!$A$6:$A$10,MATCH($I145,'Konstanten'!$A$6:$A$10,1)+1)-INDEX('Konstanten'!$A$6:$A$10,MATCH($I145,'Konstanten'!$A$6:$A$10,1)))*(INDEX('Konstanten'!$B$6:$B$10,MATCH($I145,'Konstanten'!$A$6:$A$10,1)+1)-INDEX('Konstanten'!$B$6:$B$10,MATCH($I145,'Konstanten'!$A$6:$A$10,1))),INDEX('Konstanten'!$B$6:$B$10,MATCH($I145,'Konstanten'!$A$6:$A$10,1))),""))</f>
        <v/>
      </c>
      <c r="P145" s="62">
        <f>IF($B145="","",IFERROR(IFERROR(INDEX('Konstanten'!$C$6:$C$10,MATCH($I145,'Konstanten'!$A$6:$A$10,1))+($I145-INDEX('Konstanten'!$A$6:$A$10,MATCH($I145,'Konstanten'!$A$6:$A$10,1)))/(INDEX('Konstanten'!$A$6:$A$10,MATCH($I145,'Konstanten'!$A$6:$A$10,1)+1)-INDEX('Konstanten'!$A$6:$A$10,MATCH($I145,'Konstanten'!$A$6:$A$10,1)))*(INDEX('Konstanten'!$C$6:$C$10,MATCH($I145,'Konstanten'!$A$6:$A$10,1)+1)-INDEX('Konstanten'!$C$6:$C$10,MATCH($I145,'Konstanten'!$A$6:$A$10,1))),INDEX('Konstanten'!$C$6:$C$10,MATCH($I145,'Konstanten'!$A$6:$A$10,1))),""))</f>
        <v/>
      </c>
      <c r="Q145" s="63">
        <f>IF(OR($B145="",$N145="",$O145="",$P145=""),"",'Konstanten'!$C$13*$O145*$P145^(1-($J145/1000)/0.075)*'Konstanten'!$C$14^'Konstanten'!$C$16*'Konstanten'!$C$15^'Konstanten'!$C$17*$N145)</f>
        <v/>
      </c>
      <c r="R145" s="64">
        <f>IF(OR($B145="",$Q145=""),"",$E145+$Q145/'Grundeinstellungen'!$J$6)</f>
        <v/>
      </c>
      <c r="S145" s="64">
        <f>IF($B145="","",IFERROR(VLOOKUP($M145,'Konstanten'!$H$6:$I$13,2,FALSE),29))</f>
        <v/>
      </c>
      <c r="T145" s="65">
        <f>IF(OR($B145="",$Q145=""),"",$Q145*$H145)</f>
        <v/>
      </c>
      <c r="U145" s="66">
        <f>IF(OR($B145="",$T145=""),"",$T145-$F145)</f>
        <v/>
      </c>
      <c r="V145" s="67">
        <f>IF(OR($B145="",$T145=""),"",IFERROR($T145/$F145,""))</f>
        <v/>
      </c>
      <c r="W145" s="65">
        <f>IF(OR($B145="",$H145=""),"",'Grundeinstellungen'!$J$13*$H145)</f>
        <v/>
      </c>
      <c r="X145" s="65">
        <f>IF(OR($B145="",$T145=""),"",MIN($T145,$F145)+$W145)</f>
        <v/>
      </c>
      <c r="Y145" s="68">
        <f>IF($B145="","",IFERROR($H145/($J145/1000),""))</f>
        <v/>
      </c>
      <c r="Z145" s="68">
        <f>IF($B145="","",IFERROR(2*$L145*$K145,""))</f>
        <v/>
      </c>
      <c r="AA145" s="68">
        <f>IF(OR($B145="",$Y145="",$Z145=""),"",$Y145+$Z145)</f>
        <v/>
      </c>
      <c r="AB145" s="68">
        <f>IF(OR($B145="",$AA145=""),"",IFERROR($AA145/$K145,""))</f>
        <v/>
      </c>
      <c r="AC145" s="69">
        <f>IF(OR($B145="",$X145=""),"",IFERROR(($X145/$K145)/('Grundeinstellungen'!$C$16*('Grundeinstellungen'!$C$6-'Grundeinstellungen'!$C$7))*3600,""))</f>
        <v/>
      </c>
      <c r="AD145" s="70">
        <f>IF(OR($B145="",$AC145=""),"",$AC145/'Grundeinstellungen'!$C$15*1000)</f>
        <v/>
      </c>
      <c r="AE145" s="71">
        <f>IF(OR($B145="",$AC145=""),"",IFERROR($AC145/3600/'Grundeinstellungen'!$C$15/'Grundeinstellungen'!$J$22,""))</f>
        <v/>
      </c>
      <c r="AF145" s="72">
        <f>IF(OR($B145="",$AE145=""),"",IFERROR($AE145*'Grundeinstellungen'!$J$21/'Grundeinstellungen'!$C$17,""))</f>
        <v/>
      </c>
      <c r="AG145" s="73">
        <f>IF(OR($B145="",$AF145=""),"",IF($AF145&lt;2300,"laminar",IF($AF145&lt;4000,"Übergangsbereich","turbulent")))</f>
        <v/>
      </c>
      <c r="AH145" s="74">
        <f>IF(OR($B145="",$AF145=""),"",IF($AF145&lt;2300,64/$AF145,0.316/$AF145^0.25))</f>
        <v/>
      </c>
      <c r="AI145" s="75">
        <f>IF(OR($B145="",$AH145="",$AB145=""),"",IFERROR($AH145*($AB145/'Grundeinstellungen'!$J$21)*('Grundeinstellungen'!$C$15/2)*$AE145^2,""))</f>
        <v/>
      </c>
      <c r="AJ145" s="76">
        <f>IF(OR($B145="",$AI145="",$AB145=""),"",IFERROR($AI145/$AB145,""))</f>
        <v/>
      </c>
      <c r="AK145" s="75">
        <f>IF(OR($B145="",$AI145=""),"",$AI145*(1+'Grundeinstellungen'!$C$24)+'Grundeinstellungen'!$C$25)</f>
        <v/>
      </c>
    </row>
    <row r="146">
      <c r="A146" s="51" t="n"/>
      <c r="B146" s="51" t="n"/>
      <c r="C146" s="51" t="n"/>
      <c r="D146" s="52" t="n"/>
      <c r="E146" s="53" t="n"/>
      <c r="F146" s="54" t="n"/>
      <c r="G146" s="55">
        <f>IF($B146="","",IFERROR($F146/$D146,""))</f>
        <v/>
      </c>
      <c r="H146" s="52" t="n"/>
      <c r="I146" s="56" t="n"/>
      <c r="J146" s="57" t="n"/>
      <c r="K146" s="58" t="n"/>
      <c r="L146" s="59" t="n"/>
      <c r="M146" s="60" t="n"/>
      <c r="N146" s="61">
        <f>IF($B146="","",IFERROR(('Grundeinstellungen'!$C$6-'Grundeinstellungen'!$C$7)/LN(('Grundeinstellungen'!$C$6-$E146)/('Grundeinstellungen'!$C$7-$E146)),""))</f>
        <v/>
      </c>
      <c r="O146" s="62">
        <f>IF($B146="","",IFERROR(IFERROR(INDEX('Konstanten'!$B$6:$B$10,MATCH($I146,'Konstanten'!$A$6:$A$10,1))+($I146-INDEX('Konstanten'!$A$6:$A$10,MATCH($I146,'Konstanten'!$A$6:$A$10,1)))/(INDEX('Konstanten'!$A$6:$A$10,MATCH($I146,'Konstanten'!$A$6:$A$10,1)+1)-INDEX('Konstanten'!$A$6:$A$10,MATCH($I146,'Konstanten'!$A$6:$A$10,1)))*(INDEX('Konstanten'!$B$6:$B$10,MATCH($I146,'Konstanten'!$A$6:$A$10,1)+1)-INDEX('Konstanten'!$B$6:$B$10,MATCH($I146,'Konstanten'!$A$6:$A$10,1))),INDEX('Konstanten'!$B$6:$B$10,MATCH($I146,'Konstanten'!$A$6:$A$10,1))),""))</f>
        <v/>
      </c>
      <c r="P146" s="62">
        <f>IF($B146="","",IFERROR(IFERROR(INDEX('Konstanten'!$C$6:$C$10,MATCH($I146,'Konstanten'!$A$6:$A$10,1))+($I146-INDEX('Konstanten'!$A$6:$A$10,MATCH($I146,'Konstanten'!$A$6:$A$10,1)))/(INDEX('Konstanten'!$A$6:$A$10,MATCH($I146,'Konstanten'!$A$6:$A$10,1)+1)-INDEX('Konstanten'!$A$6:$A$10,MATCH($I146,'Konstanten'!$A$6:$A$10,1)))*(INDEX('Konstanten'!$C$6:$C$10,MATCH($I146,'Konstanten'!$A$6:$A$10,1)+1)-INDEX('Konstanten'!$C$6:$C$10,MATCH($I146,'Konstanten'!$A$6:$A$10,1))),INDEX('Konstanten'!$C$6:$C$10,MATCH($I146,'Konstanten'!$A$6:$A$10,1))),""))</f>
        <v/>
      </c>
      <c r="Q146" s="63">
        <f>IF(OR($B146="",$N146="",$O146="",$P146=""),"",'Konstanten'!$C$13*$O146*$P146^(1-($J146/1000)/0.075)*'Konstanten'!$C$14^'Konstanten'!$C$16*'Konstanten'!$C$15^'Konstanten'!$C$17*$N146)</f>
        <v/>
      </c>
      <c r="R146" s="64">
        <f>IF(OR($B146="",$Q146=""),"",$E146+$Q146/'Grundeinstellungen'!$J$6)</f>
        <v/>
      </c>
      <c r="S146" s="64">
        <f>IF($B146="","",IFERROR(VLOOKUP($M146,'Konstanten'!$H$6:$I$13,2,FALSE),29))</f>
        <v/>
      </c>
      <c r="T146" s="65">
        <f>IF(OR($B146="",$Q146=""),"",$Q146*$H146)</f>
        <v/>
      </c>
      <c r="U146" s="66">
        <f>IF(OR($B146="",$T146=""),"",$T146-$F146)</f>
        <v/>
      </c>
      <c r="V146" s="67">
        <f>IF(OR($B146="",$T146=""),"",IFERROR($T146/$F146,""))</f>
        <v/>
      </c>
      <c r="W146" s="65">
        <f>IF(OR($B146="",$H146=""),"",'Grundeinstellungen'!$J$13*$H146)</f>
        <v/>
      </c>
      <c r="X146" s="65">
        <f>IF(OR($B146="",$T146=""),"",MIN($T146,$F146)+$W146)</f>
        <v/>
      </c>
      <c r="Y146" s="68">
        <f>IF($B146="","",IFERROR($H146/($J146/1000),""))</f>
        <v/>
      </c>
      <c r="Z146" s="68">
        <f>IF($B146="","",IFERROR(2*$L146*$K146,""))</f>
        <v/>
      </c>
      <c r="AA146" s="68">
        <f>IF(OR($B146="",$Y146="",$Z146=""),"",$Y146+$Z146)</f>
        <v/>
      </c>
      <c r="AB146" s="68">
        <f>IF(OR($B146="",$AA146=""),"",IFERROR($AA146/$K146,""))</f>
        <v/>
      </c>
      <c r="AC146" s="69">
        <f>IF(OR($B146="",$X146=""),"",IFERROR(($X146/$K146)/('Grundeinstellungen'!$C$16*('Grundeinstellungen'!$C$6-'Grundeinstellungen'!$C$7))*3600,""))</f>
        <v/>
      </c>
      <c r="AD146" s="70">
        <f>IF(OR($B146="",$AC146=""),"",$AC146/'Grundeinstellungen'!$C$15*1000)</f>
        <v/>
      </c>
      <c r="AE146" s="71">
        <f>IF(OR($B146="",$AC146=""),"",IFERROR($AC146/3600/'Grundeinstellungen'!$C$15/'Grundeinstellungen'!$J$22,""))</f>
        <v/>
      </c>
      <c r="AF146" s="72">
        <f>IF(OR($B146="",$AE146=""),"",IFERROR($AE146*'Grundeinstellungen'!$J$21/'Grundeinstellungen'!$C$17,""))</f>
        <v/>
      </c>
      <c r="AG146" s="73">
        <f>IF(OR($B146="",$AF146=""),"",IF($AF146&lt;2300,"laminar",IF($AF146&lt;4000,"Übergangsbereich","turbulent")))</f>
        <v/>
      </c>
      <c r="AH146" s="74">
        <f>IF(OR($B146="",$AF146=""),"",IF($AF146&lt;2300,64/$AF146,0.316/$AF146^0.25))</f>
        <v/>
      </c>
      <c r="AI146" s="75">
        <f>IF(OR($B146="",$AH146="",$AB146=""),"",IFERROR($AH146*($AB146/'Grundeinstellungen'!$J$21)*('Grundeinstellungen'!$C$15/2)*$AE146^2,""))</f>
        <v/>
      </c>
      <c r="AJ146" s="76">
        <f>IF(OR($B146="",$AI146="",$AB146=""),"",IFERROR($AI146/$AB146,""))</f>
        <v/>
      </c>
      <c r="AK146" s="75">
        <f>IF(OR($B146="",$AI146=""),"",$AI146*(1+'Grundeinstellungen'!$C$24)+'Grundeinstellungen'!$C$25)</f>
        <v/>
      </c>
    </row>
    <row r="147">
      <c r="A147" s="51" t="n"/>
      <c r="B147" s="51" t="n"/>
      <c r="C147" s="51" t="n"/>
      <c r="D147" s="52" t="n"/>
      <c r="E147" s="53" t="n"/>
      <c r="F147" s="54" t="n"/>
      <c r="G147" s="55">
        <f>IF($B147="","",IFERROR($F147/$D147,""))</f>
        <v/>
      </c>
      <c r="H147" s="52" t="n"/>
      <c r="I147" s="56" t="n"/>
      <c r="J147" s="57" t="n"/>
      <c r="K147" s="58" t="n"/>
      <c r="L147" s="59" t="n"/>
      <c r="M147" s="60" t="n"/>
      <c r="N147" s="61">
        <f>IF($B147="","",IFERROR(('Grundeinstellungen'!$C$6-'Grundeinstellungen'!$C$7)/LN(('Grundeinstellungen'!$C$6-$E147)/('Grundeinstellungen'!$C$7-$E147)),""))</f>
        <v/>
      </c>
      <c r="O147" s="62">
        <f>IF($B147="","",IFERROR(IFERROR(INDEX('Konstanten'!$B$6:$B$10,MATCH($I147,'Konstanten'!$A$6:$A$10,1))+($I147-INDEX('Konstanten'!$A$6:$A$10,MATCH($I147,'Konstanten'!$A$6:$A$10,1)))/(INDEX('Konstanten'!$A$6:$A$10,MATCH($I147,'Konstanten'!$A$6:$A$10,1)+1)-INDEX('Konstanten'!$A$6:$A$10,MATCH($I147,'Konstanten'!$A$6:$A$10,1)))*(INDEX('Konstanten'!$B$6:$B$10,MATCH($I147,'Konstanten'!$A$6:$A$10,1)+1)-INDEX('Konstanten'!$B$6:$B$10,MATCH($I147,'Konstanten'!$A$6:$A$10,1))),INDEX('Konstanten'!$B$6:$B$10,MATCH($I147,'Konstanten'!$A$6:$A$10,1))),""))</f>
        <v/>
      </c>
      <c r="P147" s="62">
        <f>IF($B147="","",IFERROR(IFERROR(INDEX('Konstanten'!$C$6:$C$10,MATCH($I147,'Konstanten'!$A$6:$A$10,1))+($I147-INDEX('Konstanten'!$A$6:$A$10,MATCH($I147,'Konstanten'!$A$6:$A$10,1)))/(INDEX('Konstanten'!$A$6:$A$10,MATCH($I147,'Konstanten'!$A$6:$A$10,1)+1)-INDEX('Konstanten'!$A$6:$A$10,MATCH($I147,'Konstanten'!$A$6:$A$10,1)))*(INDEX('Konstanten'!$C$6:$C$10,MATCH($I147,'Konstanten'!$A$6:$A$10,1)+1)-INDEX('Konstanten'!$C$6:$C$10,MATCH($I147,'Konstanten'!$A$6:$A$10,1))),INDEX('Konstanten'!$C$6:$C$10,MATCH($I147,'Konstanten'!$A$6:$A$10,1))),""))</f>
        <v/>
      </c>
      <c r="Q147" s="63">
        <f>IF(OR($B147="",$N147="",$O147="",$P147=""),"",'Konstanten'!$C$13*$O147*$P147^(1-($J147/1000)/0.075)*'Konstanten'!$C$14^'Konstanten'!$C$16*'Konstanten'!$C$15^'Konstanten'!$C$17*$N147)</f>
        <v/>
      </c>
      <c r="R147" s="64">
        <f>IF(OR($B147="",$Q147=""),"",$E147+$Q147/'Grundeinstellungen'!$J$6)</f>
        <v/>
      </c>
      <c r="S147" s="64">
        <f>IF($B147="","",IFERROR(VLOOKUP($M147,'Konstanten'!$H$6:$I$13,2,FALSE),29))</f>
        <v/>
      </c>
      <c r="T147" s="65">
        <f>IF(OR($B147="",$Q147=""),"",$Q147*$H147)</f>
        <v/>
      </c>
      <c r="U147" s="66">
        <f>IF(OR($B147="",$T147=""),"",$T147-$F147)</f>
        <v/>
      </c>
      <c r="V147" s="67">
        <f>IF(OR($B147="",$T147=""),"",IFERROR($T147/$F147,""))</f>
        <v/>
      </c>
      <c r="W147" s="65">
        <f>IF(OR($B147="",$H147=""),"",'Grundeinstellungen'!$J$13*$H147)</f>
        <v/>
      </c>
      <c r="X147" s="65">
        <f>IF(OR($B147="",$T147=""),"",MIN($T147,$F147)+$W147)</f>
        <v/>
      </c>
      <c r="Y147" s="68">
        <f>IF($B147="","",IFERROR($H147/($J147/1000),""))</f>
        <v/>
      </c>
      <c r="Z147" s="68">
        <f>IF($B147="","",IFERROR(2*$L147*$K147,""))</f>
        <v/>
      </c>
      <c r="AA147" s="68">
        <f>IF(OR($B147="",$Y147="",$Z147=""),"",$Y147+$Z147)</f>
        <v/>
      </c>
      <c r="AB147" s="68">
        <f>IF(OR($B147="",$AA147=""),"",IFERROR($AA147/$K147,""))</f>
        <v/>
      </c>
      <c r="AC147" s="69">
        <f>IF(OR($B147="",$X147=""),"",IFERROR(($X147/$K147)/('Grundeinstellungen'!$C$16*('Grundeinstellungen'!$C$6-'Grundeinstellungen'!$C$7))*3600,""))</f>
        <v/>
      </c>
      <c r="AD147" s="70">
        <f>IF(OR($B147="",$AC147=""),"",$AC147/'Grundeinstellungen'!$C$15*1000)</f>
        <v/>
      </c>
      <c r="AE147" s="71">
        <f>IF(OR($B147="",$AC147=""),"",IFERROR($AC147/3600/'Grundeinstellungen'!$C$15/'Grundeinstellungen'!$J$22,""))</f>
        <v/>
      </c>
      <c r="AF147" s="72">
        <f>IF(OR($B147="",$AE147=""),"",IFERROR($AE147*'Grundeinstellungen'!$J$21/'Grundeinstellungen'!$C$17,""))</f>
        <v/>
      </c>
      <c r="AG147" s="73">
        <f>IF(OR($B147="",$AF147=""),"",IF($AF147&lt;2300,"laminar",IF($AF147&lt;4000,"Übergangsbereich","turbulent")))</f>
        <v/>
      </c>
      <c r="AH147" s="74">
        <f>IF(OR($B147="",$AF147=""),"",IF($AF147&lt;2300,64/$AF147,0.316/$AF147^0.25))</f>
        <v/>
      </c>
      <c r="AI147" s="75">
        <f>IF(OR($B147="",$AH147="",$AB147=""),"",IFERROR($AH147*($AB147/'Grundeinstellungen'!$J$21)*('Grundeinstellungen'!$C$15/2)*$AE147^2,""))</f>
        <v/>
      </c>
      <c r="AJ147" s="76">
        <f>IF(OR($B147="",$AI147="",$AB147=""),"",IFERROR($AI147/$AB147,""))</f>
        <v/>
      </c>
      <c r="AK147" s="75">
        <f>IF(OR($B147="",$AI147=""),"",$AI147*(1+'Grundeinstellungen'!$C$24)+'Grundeinstellungen'!$C$25)</f>
        <v/>
      </c>
    </row>
    <row r="148">
      <c r="A148" s="51" t="n"/>
      <c r="B148" s="51" t="n"/>
      <c r="C148" s="51" t="n"/>
      <c r="D148" s="52" t="n"/>
      <c r="E148" s="53" t="n"/>
      <c r="F148" s="54" t="n"/>
      <c r="G148" s="55">
        <f>IF($B148="","",IFERROR($F148/$D148,""))</f>
        <v/>
      </c>
      <c r="H148" s="52" t="n"/>
      <c r="I148" s="56" t="n"/>
      <c r="J148" s="57" t="n"/>
      <c r="K148" s="58" t="n"/>
      <c r="L148" s="59" t="n"/>
      <c r="M148" s="60" t="n"/>
      <c r="N148" s="61">
        <f>IF($B148="","",IFERROR(('Grundeinstellungen'!$C$6-'Grundeinstellungen'!$C$7)/LN(('Grundeinstellungen'!$C$6-$E148)/('Grundeinstellungen'!$C$7-$E148)),""))</f>
        <v/>
      </c>
      <c r="O148" s="62">
        <f>IF($B148="","",IFERROR(IFERROR(INDEX('Konstanten'!$B$6:$B$10,MATCH($I148,'Konstanten'!$A$6:$A$10,1))+($I148-INDEX('Konstanten'!$A$6:$A$10,MATCH($I148,'Konstanten'!$A$6:$A$10,1)))/(INDEX('Konstanten'!$A$6:$A$10,MATCH($I148,'Konstanten'!$A$6:$A$10,1)+1)-INDEX('Konstanten'!$A$6:$A$10,MATCH($I148,'Konstanten'!$A$6:$A$10,1)))*(INDEX('Konstanten'!$B$6:$B$10,MATCH($I148,'Konstanten'!$A$6:$A$10,1)+1)-INDEX('Konstanten'!$B$6:$B$10,MATCH($I148,'Konstanten'!$A$6:$A$10,1))),INDEX('Konstanten'!$B$6:$B$10,MATCH($I148,'Konstanten'!$A$6:$A$10,1))),""))</f>
        <v/>
      </c>
      <c r="P148" s="62">
        <f>IF($B148="","",IFERROR(IFERROR(INDEX('Konstanten'!$C$6:$C$10,MATCH($I148,'Konstanten'!$A$6:$A$10,1))+($I148-INDEX('Konstanten'!$A$6:$A$10,MATCH($I148,'Konstanten'!$A$6:$A$10,1)))/(INDEX('Konstanten'!$A$6:$A$10,MATCH($I148,'Konstanten'!$A$6:$A$10,1)+1)-INDEX('Konstanten'!$A$6:$A$10,MATCH($I148,'Konstanten'!$A$6:$A$10,1)))*(INDEX('Konstanten'!$C$6:$C$10,MATCH($I148,'Konstanten'!$A$6:$A$10,1)+1)-INDEX('Konstanten'!$C$6:$C$10,MATCH($I148,'Konstanten'!$A$6:$A$10,1))),INDEX('Konstanten'!$C$6:$C$10,MATCH($I148,'Konstanten'!$A$6:$A$10,1))),""))</f>
        <v/>
      </c>
      <c r="Q148" s="63">
        <f>IF(OR($B148="",$N148="",$O148="",$P148=""),"",'Konstanten'!$C$13*$O148*$P148^(1-($J148/1000)/0.075)*'Konstanten'!$C$14^'Konstanten'!$C$16*'Konstanten'!$C$15^'Konstanten'!$C$17*$N148)</f>
        <v/>
      </c>
      <c r="R148" s="64">
        <f>IF(OR($B148="",$Q148=""),"",$E148+$Q148/'Grundeinstellungen'!$J$6)</f>
        <v/>
      </c>
      <c r="S148" s="64">
        <f>IF($B148="","",IFERROR(VLOOKUP($M148,'Konstanten'!$H$6:$I$13,2,FALSE),29))</f>
        <v/>
      </c>
      <c r="T148" s="65">
        <f>IF(OR($B148="",$Q148=""),"",$Q148*$H148)</f>
        <v/>
      </c>
      <c r="U148" s="66">
        <f>IF(OR($B148="",$T148=""),"",$T148-$F148)</f>
        <v/>
      </c>
      <c r="V148" s="67">
        <f>IF(OR($B148="",$T148=""),"",IFERROR($T148/$F148,""))</f>
        <v/>
      </c>
      <c r="W148" s="65">
        <f>IF(OR($B148="",$H148=""),"",'Grundeinstellungen'!$J$13*$H148)</f>
        <v/>
      </c>
      <c r="X148" s="65">
        <f>IF(OR($B148="",$T148=""),"",MIN($T148,$F148)+$W148)</f>
        <v/>
      </c>
      <c r="Y148" s="68">
        <f>IF($B148="","",IFERROR($H148/($J148/1000),""))</f>
        <v/>
      </c>
      <c r="Z148" s="68">
        <f>IF($B148="","",IFERROR(2*$L148*$K148,""))</f>
        <v/>
      </c>
      <c r="AA148" s="68">
        <f>IF(OR($B148="",$Y148="",$Z148=""),"",$Y148+$Z148)</f>
        <v/>
      </c>
      <c r="AB148" s="68">
        <f>IF(OR($B148="",$AA148=""),"",IFERROR($AA148/$K148,""))</f>
        <v/>
      </c>
      <c r="AC148" s="69">
        <f>IF(OR($B148="",$X148=""),"",IFERROR(($X148/$K148)/('Grundeinstellungen'!$C$16*('Grundeinstellungen'!$C$6-'Grundeinstellungen'!$C$7))*3600,""))</f>
        <v/>
      </c>
      <c r="AD148" s="70">
        <f>IF(OR($B148="",$AC148=""),"",$AC148/'Grundeinstellungen'!$C$15*1000)</f>
        <v/>
      </c>
      <c r="AE148" s="71">
        <f>IF(OR($B148="",$AC148=""),"",IFERROR($AC148/3600/'Grundeinstellungen'!$C$15/'Grundeinstellungen'!$J$22,""))</f>
        <v/>
      </c>
      <c r="AF148" s="72">
        <f>IF(OR($B148="",$AE148=""),"",IFERROR($AE148*'Grundeinstellungen'!$J$21/'Grundeinstellungen'!$C$17,""))</f>
        <v/>
      </c>
      <c r="AG148" s="73">
        <f>IF(OR($B148="",$AF148=""),"",IF($AF148&lt;2300,"laminar",IF($AF148&lt;4000,"Übergangsbereich","turbulent")))</f>
        <v/>
      </c>
      <c r="AH148" s="74">
        <f>IF(OR($B148="",$AF148=""),"",IF($AF148&lt;2300,64/$AF148,0.316/$AF148^0.25))</f>
        <v/>
      </c>
      <c r="AI148" s="75">
        <f>IF(OR($B148="",$AH148="",$AB148=""),"",IFERROR($AH148*($AB148/'Grundeinstellungen'!$J$21)*('Grundeinstellungen'!$C$15/2)*$AE148^2,""))</f>
        <v/>
      </c>
      <c r="AJ148" s="76">
        <f>IF(OR($B148="",$AI148="",$AB148=""),"",IFERROR($AI148/$AB148,""))</f>
        <v/>
      </c>
      <c r="AK148" s="75">
        <f>IF(OR($B148="",$AI148=""),"",$AI148*(1+'Grundeinstellungen'!$C$24)+'Grundeinstellungen'!$C$25)</f>
        <v/>
      </c>
    </row>
    <row r="149">
      <c r="A149" s="51" t="n"/>
      <c r="B149" s="51" t="n"/>
      <c r="C149" s="51" t="n"/>
      <c r="D149" s="52" t="n"/>
      <c r="E149" s="53" t="n"/>
      <c r="F149" s="54" t="n"/>
      <c r="G149" s="55">
        <f>IF($B149="","",IFERROR($F149/$D149,""))</f>
        <v/>
      </c>
      <c r="H149" s="52" t="n"/>
      <c r="I149" s="56" t="n"/>
      <c r="J149" s="57" t="n"/>
      <c r="K149" s="58" t="n"/>
      <c r="L149" s="59" t="n"/>
      <c r="M149" s="60" t="n"/>
      <c r="N149" s="61">
        <f>IF($B149="","",IFERROR(('Grundeinstellungen'!$C$6-'Grundeinstellungen'!$C$7)/LN(('Grundeinstellungen'!$C$6-$E149)/('Grundeinstellungen'!$C$7-$E149)),""))</f>
        <v/>
      </c>
      <c r="O149" s="62">
        <f>IF($B149="","",IFERROR(IFERROR(INDEX('Konstanten'!$B$6:$B$10,MATCH($I149,'Konstanten'!$A$6:$A$10,1))+($I149-INDEX('Konstanten'!$A$6:$A$10,MATCH($I149,'Konstanten'!$A$6:$A$10,1)))/(INDEX('Konstanten'!$A$6:$A$10,MATCH($I149,'Konstanten'!$A$6:$A$10,1)+1)-INDEX('Konstanten'!$A$6:$A$10,MATCH($I149,'Konstanten'!$A$6:$A$10,1)))*(INDEX('Konstanten'!$B$6:$B$10,MATCH($I149,'Konstanten'!$A$6:$A$10,1)+1)-INDEX('Konstanten'!$B$6:$B$10,MATCH($I149,'Konstanten'!$A$6:$A$10,1))),INDEX('Konstanten'!$B$6:$B$10,MATCH($I149,'Konstanten'!$A$6:$A$10,1))),""))</f>
        <v/>
      </c>
      <c r="P149" s="62">
        <f>IF($B149="","",IFERROR(IFERROR(INDEX('Konstanten'!$C$6:$C$10,MATCH($I149,'Konstanten'!$A$6:$A$10,1))+($I149-INDEX('Konstanten'!$A$6:$A$10,MATCH($I149,'Konstanten'!$A$6:$A$10,1)))/(INDEX('Konstanten'!$A$6:$A$10,MATCH($I149,'Konstanten'!$A$6:$A$10,1)+1)-INDEX('Konstanten'!$A$6:$A$10,MATCH($I149,'Konstanten'!$A$6:$A$10,1)))*(INDEX('Konstanten'!$C$6:$C$10,MATCH($I149,'Konstanten'!$A$6:$A$10,1)+1)-INDEX('Konstanten'!$C$6:$C$10,MATCH($I149,'Konstanten'!$A$6:$A$10,1))),INDEX('Konstanten'!$C$6:$C$10,MATCH($I149,'Konstanten'!$A$6:$A$10,1))),""))</f>
        <v/>
      </c>
      <c r="Q149" s="63">
        <f>IF(OR($B149="",$N149="",$O149="",$P149=""),"",'Konstanten'!$C$13*$O149*$P149^(1-($J149/1000)/0.075)*'Konstanten'!$C$14^'Konstanten'!$C$16*'Konstanten'!$C$15^'Konstanten'!$C$17*$N149)</f>
        <v/>
      </c>
      <c r="R149" s="64">
        <f>IF(OR($B149="",$Q149=""),"",$E149+$Q149/'Grundeinstellungen'!$J$6)</f>
        <v/>
      </c>
      <c r="S149" s="64">
        <f>IF($B149="","",IFERROR(VLOOKUP($M149,'Konstanten'!$H$6:$I$13,2,FALSE),29))</f>
        <v/>
      </c>
      <c r="T149" s="65">
        <f>IF(OR($B149="",$Q149=""),"",$Q149*$H149)</f>
        <v/>
      </c>
      <c r="U149" s="66">
        <f>IF(OR($B149="",$T149=""),"",$T149-$F149)</f>
        <v/>
      </c>
      <c r="V149" s="67">
        <f>IF(OR($B149="",$T149=""),"",IFERROR($T149/$F149,""))</f>
        <v/>
      </c>
      <c r="W149" s="65">
        <f>IF(OR($B149="",$H149=""),"",'Grundeinstellungen'!$J$13*$H149)</f>
        <v/>
      </c>
      <c r="X149" s="65">
        <f>IF(OR($B149="",$T149=""),"",MIN($T149,$F149)+$W149)</f>
        <v/>
      </c>
      <c r="Y149" s="68">
        <f>IF($B149="","",IFERROR($H149/($J149/1000),""))</f>
        <v/>
      </c>
      <c r="Z149" s="68">
        <f>IF($B149="","",IFERROR(2*$L149*$K149,""))</f>
        <v/>
      </c>
      <c r="AA149" s="68">
        <f>IF(OR($B149="",$Y149="",$Z149=""),"",$Y149+$Z149)</f>
        <v/>
      </c>
      <c r="AB149" s="68">
        <f>IF(OR($B149="",$AA149=""),"",IFERROR($AA149/$K149,""))</f>
        <v/>
      </c>
      <c r="AC149" s="69">
        <f>IF(OR($B149="",$X149=""),"",IFERROR(($X149/$K149)/('Grundeinstellungen'!$C$16*('Grundeinstellungen'!$C$6-'Grundeinstellungen'!$C$7))*3600,""))</f>
        <v/>
      </c>
      <c r="AD149" s="70">
        <f>IF(OR($B149="",$AC149=""),"",$AC149/'Grundeinstellungen'!$C$15*1000)</f>
        <v/>
      </c>
      <c r="AE149" s="71">
        <f>IF(OR($B149="",$AC149=""),"",IFERROR($AC149/3600/'Grundeinstellungen'!$C$15/'Grundeinstellungen'!$J$22,""))</f>
        <v/>
      </c>
      <c r="AF149" s="72">
        <f>IF(OR($B149="",$AE149=""),"",IFERROR($AE149*'Grundeinstellungen'!$J$21/'Grundeinstellungen'!$C$17,""))</f>
        <v/>
      </c>
      <c r="AG149" s="73">
        <f>IF(OR($B149="",$AF149=""),"",IF($AF149&lt;2300,"laminar",IF($AF149&lt;4000,"Übergangsbereich","turbulent")))</f>
        <v/>
      </c>
      <c r="AH149" s="74">
        <f>IF(OR($B149="",$AF149=""),"",IF($AF149&lt;2300,64/$AF149,0.316/$AF149^0.25))</f>
        <v/>
      </c>
      <c r="AI149" s="75">
        <f>IF(OR($B149="",$AH149="",$AB149=""),"",IFERROR($AH149*($AB149/'Grundeinstellungen'!$J$21)*('Grundeinstellungen'!$C$15/2)*$AE149^2,""))</f>
        <v/>
      </c>
      <c r="AJ149" s="76">
        <f>IF(OR($B149="",$AI149="",$AB149=""),"",IFERROR($AI149/$AB149,""))</f>
        <v/>
      </c>
      <c r="AK149" s="75">
        <f>IF(OR($B149="",$AI149=""),"",$AI149*(1+'Grundeinstellungen'!$C$24)+'Grundeinstellungen'!$C$25)</f>
        <v/>
      </c>
    </row>
    <row r="150">
      <c r="A150" s="51" t="n"/>
      <c r="B150" s="51" t="n"/>
      <c r="C150" s="51" t="n"/>
      <c r="D150" s="52" t="n"/>
      <c r="E150" s="53" t="n"/>
      <c r="F150" s="54" t="n"/>
      <c r="G150" s="55">
        <f>IF($B150="","",IFERROR($F150/$D150,""))</f>
        <v/>
      </c>
      <c r="H150" s="52" t="n"/>
      <c r="I150" s="56" t="n"/>
      <c r="J150" s="57" t="n"/>
      <c r="K150" s="58" t="n"/>
      <c r="L150" s="59" t="n"/>
      <c r="M150" s="60" t="n"/>
      <c r="N150" s="61">
        <f>IF($B150="","",IFERROR(('Grundeinstellungen'!$C$6-'Grundeinstellungen'!$C$7)/LN(('Grundeinstellungen'!$C$6-$E150)/('Grundeinstellungen'!$C$7-$E150)),""))</f>
        <v/>
      </c>
      <c r="O150" s="62">
        <f>IF($B150="","",IFERROR(IFERROR(INDEX('Konstanten'!$B$6:$B$10,MATCH($I150,'Konstanten'!$A$6:$A$10,1))+($I150-INDEX('Konstanten'!$A$6:$A$10,MATCH($I150,'Konstanten'!$A$6:$A$10,1)))/(INDEX('Konstanten'!$A$6:$A$10,MATCH($I150,'Konstanten'!$A$6:$A$10,1)+1)-INDEX('Konstanten'!$A$6:$A$10,MATCH($I150,'Konstanten'!$A$6:$A$10,1)))*(INDEX('Konstanten'!$B$6:$B$10,MATCH($I150,'Konstanten'!$A$6:$A$10,1)+1)-INDEX('Konstanten'!$B$6:$B$10,MATCH($I150,'Konstanten'!$A$6:$A$10,1))),INDEX('Konstanten'!$B$6:$B$10,MATCH($I150,'Konstanten'!$A$6:$A$10,1))),""))</f>
        <v/>
      </c>
      <c r="P150" s="62">
        <f>IF($B150="","",IFERROR(IFERROR(INDEX('Konstanten'!$C$6:$C$10,MATCH($I150,'Konstanten'!$A$6:$A$10,1))+($I150-INDEX('Konstanten'!$A$6:$A$10,MATCH($I150,'Konstanten'!$A$6:$A$10,1)))/(INDEX('Konstanten'!$A$6:$A$10,MATCH($I150,'Konstanten'!$A$6:$A$10,1)+1)-INDEX('Konstanten'!$A$6:$A$10,MATCH($I150,'Konstanten'!$A$6:$A$10,1)))*(INDEX('Konstanten'!$C$6:$C$10,MATCH($I150,'Konstanten'!$A$6:$A$10,1)+1)-INDEX('Konstanten'!$C$6:$C$10,MATCH($I150,'Konstanten'!$A$6:$A$10,1))),INDEX('Konstanten'!$C$6:$C$10,MATCH($I150,'Konstanten'!$A$6:$A$10,1))),""))</f>
        <v/>
      </c>
      <c r="Q150" s="63">
        <f>IF(OR($B150="",$N150="",$O150="",$P150=""),"",'Konstanten'!$C$13*$O150*$P150^(1-($J150/1000)/0.075)*'Konstanten'!$C$14^'Konstanten'!$C$16*'Konstanten'!$C$15^'Konstanten'!$C$17*$N150)</f>
        <v/>
      </c>
      <c r="R150" s="64">
        <f>IF(OR($B150="",$Q150=""),"",$E150+$Q150/'Grundeinstellungen'!$J$6)</f>
        <v/>
      </c>
      <c r="S150" s="64">
        <f>IF($B150="","",IFERROR(VLOOKUP($M150,'Konstanten'!$H$6:$I$13,2,FALSE),29))</f>
        <v/>
      </c>
      <c r="T150" s="65">
        <f>IF(OR($B150="",$Q150=""),"",$Q150*$H150)</f>
        <v/>
      </c>
      <c r="U150" s="66">
        <f>IF(OR($B150="",$T150=""),"",$T150-$F150)</f>
        <v/>
      </c>
      <c r="V150" s="67">
        <f>IF(OR($B150="",$T150=""),"",IFERROR($T150/$F150,""))</f>
        <v/>
      </c>
      <c r="W150" s="65">
        <f>IF(OR($B150="",$H150=""),"",'Grundeinstellungen'!$J$13*$H150)</f>
        <v/>
      </c>
      <c r="X150" s="65">
        <f>IF(OR($B150="",$T150=""),"",MIN($T150,$F150)+$W150)</f>
        <v/>
      </c>
      <c r="Y150" s="68">
        <f>IF($B150="","",IFERROR($H150/($J150/1000),""))</f>
        <v/>
      </c>
      <c r="Z150" s="68">
        <f>IF($B150="","",IFERROR(2*$L150*$K150,""))</f>
        <v/>
      </c>
      <c r="AA150" s="68">
        <f>IF(OR($B150="",$Y150="",$Z150=""),"",$Y150+$Z150)</f>
        <v/>
      </c>
      <c r="AB150" s="68">
        <f>IF(OR($B150="",$AA150=""),"",IFERROR($AA150/$K150,""))</f>
        <v/>
      </c>
      <c r="AC150" s="69">
        <f>IF(OR($B150="",$X150=""),"",IFERROR(($X150/$K150)/('Grundeinstellungen'!$C$16*('Grundeinstellungen'!$C$6-'Grundeinstellungen'!$C$7))*3600,""))</f>
        <v/>
      </c>
      <c r="AD150" s="70">
        <f>IF(OR($B150="",$AC150=""),"",$AC150/'Grundeinstellungen'!$C$15*1000)</f>
        <v/>
      </c>
      <c r="AE150" s="71">
        <f>IF(OR($B150="",$AC150=""),"",IFERROR($AC150/3600/'Grundeinstellungen'!$C$15/'Grundeinstellungen'!$J$22,""))</f>
        <v/>
      </c>
      <c r="AF150" s="72">
        <f>IF(OR($B150="",$AE150=""),"",IFERROR($AE150*'Grundeinstellungen'!$J$21/'Grundeinstellungen'!$C$17,""))</f>
        <v/>
      </c>
      <c r="AG150" s="73">
        <f>IF(OR($B150="",$AF150=""),"",IF($AF150&lt;2300,"laminar",IF($AF150&lt;4000,"Übergangsbereich","turbulent")))</f>
        <v/>
      </c>
      <c r="AH150" s="74">
        <f>IF(OR($B150="",$AF150=""),"",IF($AF150&lt;2300,64/$AF150,0.316/$AF150^0.25))</f>
        <v/>
      </c>
      <c r="AI150" s="75">
        <f>IF(OR($B150="",$AH150="",$AB150=""),"",IFERROR($AH150*($AB150/'Grundeinstellungen'!$J$21)*('Grundeinstellungen'!$C$15/2)*$AE150^2,""))</f>
        <v/>
      </c>
      <c r="AJ150" s="76">
        <f>IF(OR($B150="",$AI150="",$AB150=""),"",IFERROR($AI150/$AB150,""))</f>
        <v/>
      </c>
      <c r="AK150" s="75">
        <f>IF(OR($B150="",$AI150=""),"",$AI150*(1+'Grundeinstellungen'!$C$24)+'Grundeinstellungen'!$C$25)</f>
        <v/>
      </c>
    </row>
    <row r="151">
      <c r="A151" s="51" t="n"/>
      <c r="B151" s="51" t="n"/>
      <c r="C151" s="51" t="n"/>
      <c r="D151" s="52" t="n"/>
      <c r="E151" s="53" t="n"/>
      <c r="F151" s="54" t="n"/>
      <c r="G151" s="55">
        <f>IF($B151="","",IFERROR($F151/$D151,""))</f>
        <v/>
      </c>
      <c r="H151" s="52" t="n"/>
      <c r="I151" s="56" t="n"/>
      <c r="J151" s="57" t="n"/>
      <c r="K151" s="58" t="n"/>
      <c r="L151" s="59" t="n"/>
      <c r="M151" s="60" t="n"/>
      <c r="N151" s="61">
        <f>IF($B151="","",IFERROR(('Grundeinstellungen'!$C$6-'Grundeinstellungen'!$C$7)/LN(('Grundeinstellungen'!$C$6-$E151)/('Grundeinstellungen'!$C$7-$E151)),""))</f>
        <v/>
      </c>
      <c r="O151" s="62">
        <f>IF($B151="","",IFERROR(IFERROR(INDEX('Konstanten'!$B$6:$B$10,MATCH($I151,'Konstanten'!$A$6:$A$10,1))+($I151-INDEX('Konstanten'!$A$6:$A$10,MATCH($I151,'Konstanten'!$A$6:$A$10,1)))/(INDEX('Konstanten'!$A$6:$A$10,MATCH($I151,'Konstanten'!$A$6:$A$10,1)+1)-INDEX('Konstanten'!$A$6:$A$10,MATCH($I151,'Konstanten'!$A$6:$A$10,1)))*(INDEX('Konstanten'!$B$6:$B$10,MATCH($I151,'Konstanten'!$A$6:$A$10,1)+1)-INDEX('Konstanten'!$B$6:$B$10,MATCH($I151,'Konstanten'!$A$6:$A$10,1))),INDEX('Konstanten'!$B$6:$B$10,MATCH($I151,'Konstanten'!$A$6:$A$10,1))),""))</f>
        <v/>
      </c>
      <c r="P151" s="62">
        <f>IF($B151="","",IFERROR(IFERROR(INDEX('Konstanten'!$C$6:$C$10,MATCH($I151,'Konstanten'!$A$6:$A$10,1))+($I151-INDEX('Konstanten'!$A$6:$A$10,MATCH($I151,'Konstanten'!$A$6:$A$10,1)))/(INDEX('Konstanten'!$A$6:$A$10,MATCH($I151,'Konstanten'!$A$6:$A$10,1)+1)-INDEX('Konstanten'!$A$6:$A$10,MATCH($I151,'Konstanten'!$A$6:$A$10,1)))*(INDEX('Konstanten'!$C$6:$C$10,MATCH($I151,'Konstanten'!$A$6:$A$10,1)+1)-INDEX('Konstanten'!$C$6:$C$10,MATCH($I151,'Konstanten'!$A$6:$A$10,1))),INDEX('Konstanten'!$C$6:$C$10,MATCH($I151,'Konstanten'!$A$6:$A$10,1))),""))</f>
        <v/>
      </c>
      <c r="Q151" s="63">
        <f>IF(OR($B151="",$N151="",$O151="",$P151=""),"",'Konstanten'!$C$13*$O151*$P151^(1-($J151/1000)/0.075)*'Konstanten'!$C$14^'Konstanten'!$C$16*'Konstanten'!$C$15^'Konstanten'!$C$17*$N151)</f>
        <v/>
      </c>
      <c r="R151" s="64">
        <f>IF(OR($B151="",$Q151=""),"",$E151+$Q151/'Grundeinstellungen'!$J$6)</f>
        <v/>
      </c>
      <c r="S151" s="64">
        <f>IF($B151="","",IFERROR(VLOOKUP($M151,'Konstanten'!$H$6:$I$13,2,FALSE),29))</f>
        <v/>
      </c>
      <c r="T151" s="65">
        <f>IF(OR($B151="",$Q151=""),"",$Q151*$H151)</f>
        <v/>
      </c>
      <c r="U151" s="66">
        <f>IF(OR($B151="",$T151=""),"",$T151-$F151)</f>
        <v/>
      </c>
      <c r="V151" s="67">
        <f>IF(OR($B151="",$T151=""),"",IFERROR($T151/$F151,""))</f>
        <v/>
      </c>
      <c r="W151" s="65">
        <f>IF(OR($B151="",$H151=""),"",'Grundeinstellungen'!$J$13*$H151)</f>
        <v/>
      </c>
      <c r="X151" s="65">
        <f>IF(OR($B151="",$T151=""),"",MIN($T151,$F151)+$W151)</f>
        <v/>
      </c>
      <c r="Y151" s="68">
        <f>IF($B151="","",IFERROR($H151/($J151/1000),""))</f>
        <v/>
      </c>
      <c r="Z151" s="68">
        <f>IF($B151="","",IFERROR(2*$L151*$K151,""))</f>
        <v/>
      </c>
      <c r="AA151" s="68">
        <f>IF(OR($B151="",$Y151="",$Z151=""),"",$Y151+$Z151)</f>
        <v/>
      </c>
      <c r="AB151" s="68">
        <f>IF(OR($B151="",$AA151=""),"",IFERROR($AA151/$K151,""))</f>
        <v/>
      </c>
      <c r="AC151" s="69">
        <f>IF(OR($B151="",$X151=""),"",IFERROR(($X151/$K151)/('Grundeinstellungen'!$C$16*('Grundeinstellungen'!$C$6-'Grundeinstellungen'!$C$7))*3600,""))</f>
        <v/>
      </c>
      <c r="AD151" s="70">
        <f>IF(OR($B151="",$AC151=""),"",$AC151/'Grundeinstellungen'!$C$15*1000)</f>
        <v/>
      </c>
      <c r="AE151" s="71">
        <f>IF(OR($B151="",$AC151=""),"",IFERROR($AC151/3600/'Grundeinstellungen'!$C$15/'Grundeinstellungen'!$J$22,""))</f>
        <v/>
      </c>
      <c r="AF151" s="72">
        <f>IF(OR($B151="",$AE151=""),"",IFERROR($AE151*'Grundeinstellungen'!$J$21/'Grundeinstellungen'!$C$17,""))</f>
        <v/>
      </c>
      <c r="AG151" s="73">
        <f>IF(OR($B151="",$AF151=""),"",IF($AF151&lt;2300,"laminar",IF($AF151&lt;4000,"Übergangsbereich","turbulent")))</f>
        <v/>
      </c>
      <c r="AH151" s="74">
        <f>IF(OR($B151="",$AF151=""),"",IF($AF151&lt;2300,64/$AF151,0.316/$AF151^0.25))</f>
        <v/>
      </c>
      <c r="AI151" s="75">
        <f>IF(OR($B151="",$AH151="",$AB151=""),"",IFERROR($AH151*($AB151/'Grundeinstellungen'!$J$21)*('Grundeinstellungen'!$C$15/2)*$AE151^2,""))</f>
        <v/>
      </c>
      <c r="AJ151" s="76">
        <f>IF(OR($B151="",$AI151="",$AB151=""),"",IFERROR($AI151/$AB151,""))</f>
        <v/>
      </c>
      <c r="AK151" s="75">
        <f>IF(OR($B151="",$AI151=""),"",$AI151*(1+'Grundeinstellungen'!$C$24)+'Grundeinstellungen'!$C$25)</f>
        <v/>
      </c>
    </row>
    <row r="152">
      <c r="A152" s="51" t="n"/>
      <c r="B152" s="51" t="n"/>
      <c r="C152" s="51" t="n"/>
      <c r="D152" s="52" t="n"/>
      <c r="E152" s="53" t="n"/>
      <c r="F152" s="54" t="n"/>
      <c r="G152" s="55">
        <f>IF($B152="","",IFERROR($F152/$D152,""))</f>
        <v/>
      </c>
      <c r="H152" s="52" t="n"/>
      <c r="I152" s="56" t="n"/>
      <c r="J152" s="57" t="n"/>
      <c r="K152" s="58" t="n"/>
      <c r="L152" s="59" t="n"/>
      <c r="M152" s="60" t="n"/>
      <c r="N152" s="61">
        <f>IF($B152="","",IFERROR(('Grundeinstellungen'!$C$6-'Grundeinstellungen'!$C$7)/LN(('Grundeinstellungen'!$C$6-$E152)/('Grundeinstellungen'!$C$7-$E152)),""))</f>
        <v/>
      </c>
      <c r="O152" s="62">
        <f>IF($B152="","",IFERROR(IFERROR(INDEX('Konstanten'!$B$6:$B$10,MATCH($I152,'Konstanten'!$A$6:$A$10,1))+($I152-INDEX('Konstanten'!$A$6:$A$10,MATCH($I152,'Konstanten'!$A$6:$A$10,1)))/(INDEX('Konstanten'!$A$6:$A$10,MATCH($I152,'Konstanten'!$A$6:$A$10,1)+1)-INDEX('Konstanten'!$A$6:$A$10,MATCH($I152,'Konstanten'!$A$6:$A$10,1)))*(INDEX('Konstanten'!$B$6:$B$10,MATCH($I152,'Konstanten'!$A$6:$A$10,1)+1)-INDEX('Konstanten'!$B$6:$B$10,MATCH($I152,'Konstanten'!$A$6:$A$10,1))),INDEX('Konstanten'!$B$6:$B$10,MATCH($I152,'Konstanten'!$A$6:$A$10,1))),""))</f>
        <v/>
      </c>
      <c r="P152" s="62">
        <f>IF($B152="","",IFERROR(IFERROR(INDEX('Konstanten'!$C$6:$C$10,MATCH($I152,'Konstanten'!$A$6:$A$10,1))+($I152-INDEX('Konstanten'!$A$6:$A$10,MATCH($I152,'Konstanten'!$A$6:$A$10,1)))/(INDEX('Konstanten'!$A$6:$A$10,MATCH($I152,'Konstanten'!$A$6:$A$10,1)+1)-INDEX('Konstanten'!$A$6:$A$10,MATCH($I152,'Konstanten'!$A$6:$A$10,1)))*(INDEX('Konstanten'!$C$6:$C$10,MATCH($I152,'Konstanten'!$A$6:$A$10,1)+1)-INDEX('Konstanten'!$C$6:$C$10,MATCH($I152,'Konstanten'!$A$6:$A$10,1))),INDEX('Konstanten'!$C$6:$C$10,MATCH($I152,'Konstanten'!$A$6:$A$10,1))),""))</f>
        <v/>
      </c>
      <c r="Q152" s="63">
        <f>IF(OR($B152="",$N152="",$O152="",$P152=""),"",'Konstanten'!$C$13*$O152*$P152^(1-($J152/1000)/0.075)*'Konstanten'!$C$14^'Konstanten'!$C$16*'Konstanten'!$C$15^'Konstanten'!$C$17*$N152)</f>
        <v/>
      </c>
      <c r="R152" s="64">
        <f>IF(OR($B152="",$Q152=""),"",$E152+$Q152/'Grundeinstellungen'!$J$6)</f>
        <v/>
      </c>
      <c r="S152" s="64">
        <f>IF($B152="","",IFERROR(VLOOKUP($M152,'Konstanten'!$H$6:$I$13,2,FALSE),29))</f>
        <v/>
      </c>
      <c r="T152" s="65">
        <f>IF(OR($B152="",$Q152=""),"",$Q152*$H152)</f>
        <v/>
      </c>
      <c r="U152" s="66">
        <f>IF(OR($B152="",$T152=""),"",$T152-$F152)</f>
        <v/>
      </c>
      <c r="V152" s="67">
        <f>IF(OR($B152="",$T152=""),"",IFERROR($T152/$F152,""))</f>
        <v/>
      </c>
      <c r="W152" s="65">
        <f>IF(OR($B152="",$H152=""),"",'Grundeinstellungen'!$J$13*$H152)</f>
        <v/>
      </c>
      <c r="X152" s="65">
        <f>IF(OR($B152="",$T152=""),"",MIN($T152,$F152)+$W152)</f>
        <v/>
      </c>
      <c r="Y152" s="68">
        <f>IF($B152="","",IFERROR($H152/($J152/1000),""))</f>
        <v/>
      </c>
      <c r="Z152" s="68">
        <f>IF($B152="","",IFERROR(2*$L152*$K152,""))</f>
        <v/>
      </c>
      <c r="AA152" s="68">
        <f>IF(OR($B152="",$Y152="",$Z152=""),"",$Y152+$Z152)</f>
        <v/>
      </c>
      <c r="AB152" s="68">
        <f>IF(OR($B152="",$AA152=""),"",IFERROR($AA152/$K152,""))</f>
        <v/>
      </c>
      <c r="AC152" s="69">
        <f>IF(OR($B152="",$X152=""),"",IFERROR(($X152/$K152)/('Grundeinstellungen'!$C$16*('Grundeinstellungen'!$C$6-'Grundeinstellungen'!$C$7))*3600,""))</f>
        <v/>
      </c>
      <c r="AD152" s="70">
        <f>IF(OR($B152="",$AC152=""),"",$AC152/'Grundeinstellungen'!$C$15*1000)</f>
        <v/>
      </c>
      <c r="AE152" s="71">
        <f>IF(OR($B152="",$AC152=""),"",IFERROR($AC152/3600/'Grundeinstellungen'!$C$15/'Grundeinstellungen'!$J$22,""))</f>
        <v/>
      </c>
      <c r="AF152" s="72">
        <f>IF(OR($B152="",$AE152=""),"",IFERROR($AE152*'Grundeinstellungen'!$J$21/'Grundeinstellungen'!$C$17,""))</f>
        <v/>
      </c>
      <c r="AG152" s="73">
        <f>IF(OR($B152="",$AF152=""),"",IF($AF152&lt;2300,"laminar",IF($AF152&lt;4000,"Übergangsbereich","turbulent")))</f>
        <v/>
      </c>
      <c r="AH152" s="74">
        <f>IF(OR($B152="",$AF152=""),"",IF($AF152&lt;2300,64/$AF152,0.316/$AF152^0.25))</f>
        <v/>
      </c>
      <c r="AI152" s="75">
        <f>IF(OR($B152="",$AH152="",$AB152=""),"",IFERROR($AH152*($AB152/'Grundeinstellungen'!$J$21)*('Grundeinstellungen'!$C$15/2)*$AE152^2,""))</f>
        <v/>
      </c>
      <c r="AJ152" s="76">
        <f>IF(OR($B152="",$AI152="",$AB152=""),"",IFERROR($AI152/$AB152,""))</f>
        <v/>
      </c>
      <c r="AK152" s="75">
        <f>IF(OR($B152="",$AI152=""),"",$AI152*(1+'Grundeinstellungen'!$C$24)+'Grundeinstellungen'!$C$25)</f>
        <v/>
      </c>
    </row>
    <row r="153">
      <c r="A153" s="51" t="n"/>
      <c r="B153" s="51" t="n"/>
      <c r="C153" s="51" t="n"/>
      <c r="D153" s="52" t="n"/>
      <c r="E153" s="53" t="n"/>
      <c r="F153" s="54" t="n"/>
      <c r="G153" s="55">
        <f>IF($B153="","",IFERROR($F153/$D153,""))</f>
        <v/>
      </c>
      <c r="H153" s="52" t="n"/>
      <c r="I153" s="56" t="n"/>
      <c r="J153" s="57" t="n"/>
      <c r="K153" s="58" t="n"/>
      <c r="L153" s="59" t="n"/>
      <c r="M153" s="60" t="n"/>
      <c r="N153" s="61">
        <f>IF($B153="","",IFERROR(('Grundeinstellungen'!$C$6-'Grundeinstellungen'!$C$7)/LN(('Grundeinstellungen'!$C$6-$E153)/('Grundeinstellungen'!$C$7-$E153)),""))</f>
        <v/>
      </c>
      <c r="O153" s="62">
        <f>IF($B153="","",IFERROR(IFERROR(INDEX('Konstanten'!$B$6:$B$10,MATCH($I153,'Konstanten'!$A$6:$A$10,1))+($I153-INDEX('Konstanten'!$A$6:$A$10,MATCH($I153,'Konstanten'!$A$6:$A$10,1)))/(INDEX('Konstanten'!$A$6:$A$10,MATCH($I153,'Konstanten'!$A$6:$A$10,1)+1)-INDEX('Konstanten'!$A$6:$A$10,MATCH($I153,'Konstanten'!$A$6:$A$10,1)))*(INDEX('Konstanten'!$B$6:$B$10,MATCH($I153,'Konstanten'!$A$6:$A$10,1)+1)-INDEX('Konstanten'!$B$6:$B$10,MATCH($I153,'Konstanten'!$A$6:$A$10,1))),INDEX('Konstanten'!$B$6:$B$10,MATCH($I153,'Konstanten'!$A$6:$A$10,1))),""))</f>
        <v/>
      </c>
      <c r="P153" s="62">
        <f>IF($B153="","",IFERROR(IFERROR(INDEX('Konstanten'!$C$6:$C$10,MATCH($I153,'Konstanten'!$A$6:$A$10,1))+($I153-INDEX('Konstanten'!$A$6:$A$10,MATCH($I153,'Konstanten'!$A$6:$A$10,1)))/(INDEX('Konstanten'!$A$6:$A$10,MATCH($I153,'Konstanten'!$A$6:$A$10,1)+1)-INDEX('Konstanten'!$A$6:$A$10,MATCH($I153,'Konstanten'!$A$6:$A$10,1)))*(INDEX('Konstanten'!$C$6:$C$10,MATCH($I153,'Konstanten'!$A$6:$A$10,1)+1)-INDEX('Konstanten'!$C$6:$C$10,MATCH($I153,'Konstanten'!$A$6:$A$10,1))),INDEX('Konstanten'!$C$6:$C$10,MATCH($I153,'Konstanten'!$A$6:$A$10,1))),""))</f>
        <v/>
      </c>
      <c r="Q153" s="63">
        <f>IF(OR($B153="",$N153="",$O153="",$P153=""),"",'Konstanten'!$C$13*$O153*$P153^(1-($J153/1000)/0.075)*'Konstanten'!$C$14^'Konstanten'!$C$16*'Konstanten'!$C$15^'Konstanten'!$C$17*$N153)</f>
        <v/>
      </c>
      <c r="R153" s="64">
        <f>IF(OR($B153="",$Q153=""),"",$E153+$Q153/'Grundeinstellungen'!$J$6)</f>
        <v/>
      </c>
      <c r="S153" s="64">
        <f>IF($B153="","",IFERROR(VLOOKUP($M153,'Konstanten'!$H$6:$I$13,2,FALSE),29))</f>
        <v/>
      </c>
      <c r="T153" s="65">
        <f>IF(OR($B153="",$Q153=""),"",$Q153*$H153)</f>
        <v/>
      </c>
      <c r="U153" s="66">
        <f>IF(OR($B153="",$T153=""),"",$T153-$F153)</f>
        <v/>
      </c>
      <c r="V153" s="67">
        <f>IF(OR($B153="",$T153=""),"",IFERROR($T153/$F153,""))</f>
        <v/>
      </c>
      <c r="W153" s="65">
        <f>IF(OR($B153="",$H153=""),"",'Grundeinstellungen'!$J$13*$H153)</f>
        <v/>
      </c>
      <c r="X153" s="65">
        <f>IF(OR($B153="",$T153=""),"",MIN($T153,$F153)+$W153)</f>
        <v/>
      </c>
      <c r="Y153" s="68">
        <f>IF($B153="","",IFERROR($H153/($J153/1000),""))</f>
        <v/>
      </c>
      <c r="Z153" s="68">
        <f>IF($B153="","",IFERROR(2*$L153*$K153,""))</f>
        <v/>
      </c>
      <c r="AA153" s="68">
        <f>IF(OR($B153="",$Y153="",$Z153=""),"",$Y153+$Z153)</f>
        <v/>
      </c>
      <c r="AB153" s="68">
        <f>IF(OR($B153="",$AA153=""),"",IFERROR($AA153/$K153,""))</f>
        <v/>
      </c>
      <c r="AC153" s="69">
        <f>IF(OR($B153="",$X153=""),"",IFERROR(($X153/$K153)/('Grundeinstellungen'!$C$16*('Grundeinstellungen'!$C$6-'Grundeinstellungen'!$C$7))*3600,""))</f>
        <v/>
      </c>
      <c r="AD153" s="70">
        <f>IF(OR($B153="",$AC153=""),"",$AC153/'Grundeinstellungen'!$C$15*1000)</f>
        <v/>
      </c>
      <c r="AE153" s="71">
        <f>IF(OR($B153="",$AC153=""),"",IFERROR($AC153/3600/'Grundeinstellungen'!$C$15/'Grundeinstellungen'!$J$22,""))</f>
        <v/>
      </c>
      <c r="AF153" s="72">
        <f>IF(OR($B153="",$AE153=""),"",IFERROR($AE153*'Grundeinstellungen'!$J$21/'Grundeinstellungen'!$C$17,""))</f>
        <v/>
      </c>
      <c r="AG153" s="73">
        <f>IF(OR($B153="",$AF153=""),"",IF($AF153&lt;2300,"laminar",IF($AF153&lt;4000,"Übergangsbereich","turbulent")))</f>
        <v/>
      </c>
      <c r="AH153" s="74">
        <f>IF(OR($B153="",$AF153=""),"",IF($AF153&lt;2300,64/$AF153,0.316/$AF153^0.25))</f>
        <v/>
      </c>
      <c r="AI153" s="75">
        <f>IF(OR($B153="",$AH153="",$AB153=""),"",IFERROR($AH153*($AB153/'Grundeinstellungen'!$J$21)*('Grundeinstellungen'!$C$15/2)*$AE153^2,""))</f>
        <v/>
      </c>
      <c r="AJ153" s="76">
        <f>IF(OR($B153="",$AI153="",$AB153=""),"",IFERROR($AI153/$AB153,""))</f>
        <v/>
      </c>
      <c r="AK153" s="75">
        <f>IF(OR($B153="",$AI153=""),"",$AI153*(1+'Grundeinstellungen'!$C$24)+'Grundeinstellungen'!$C$25)</f>
        <v/>
      </c>
    </row>
    <row r="154">
      <c r="A154" s="51" t="n"/>
      <c r="B154" s="51" t="n"/>
      <c r="C154" s="51" t="n"/>
      <c r="D154" s="52" t="n"/>
      <c r="E154" s="53" t="n"/>
      <c r="F154" s="54" t="n"/>
      <c r="G154" s="55">
        <f>IF($B154="","",IFERROR($F154/$D154,""))</f>
        <v/>
      </c>
      <c r="H154" s="52" t="n"/>
      <c r="I154" s="56" t="n"/>
      <c r="J154" s="57" t="n"/>
      <c r="K154" s="58" t="n"/>
      <c r="L154" s="59" t="n"/>
      <c r="M154" s="60" t="n"/>
      <c r="N154" s="61">
        <f>IF($B154="","",IFERROR(('Grundeinstellungen'!$C$6-'Grundeinstellungen'!$C$7)/LN(('Grundeinstellungen'!$C$6-$E154)/('Grundeinstellungen'!$C$7-$E154)),""))</f>
        <v/>
      </c>
      <c r="O154" s="62">
        <f>IF($B154="","",IFERROR(IFERROR(INDEX('Konstanten'!$B$6:$B$10,MATCH($I154,'Konstanten'!$A$6:$A$10,1))+($I154-INDEX('Konstanten'!$A$6:$A$10,MATCH($I154,'Konstanten'!$A$6:$A$10,1)))/(INDEX('Konstanten'!$A$6:$A$10,MATCH($I154,'Konstanten'!$A$6:$A$10,1)+1)-INDEX('Konstanten'!$A$6:$A$10,MATCH($I154,'Konstanten'!$A$6:$A$10,1)))*(INDEX('Konstanten'!$B$6:$B$10,MATCH($I154,'Konstanten'!$A$6:$A$10,1)+1)-INDEX('Konstanten'!$B$6:$B$10,MATCH($I154,'Konstanten'!$A$6:$A$10,1))),INDEX('Konstanten'!$B$6:$B$10,MATCH($I154,'Konstanten'!$A$6:$A$10,1))),""))</f>
        <v/>
      </c>
      <c r="P154" s="62">
        <f>IF($B154="","",IFERROR(IFERROR(INDEX('Konstanten'!$C$6:$C$10,MATCH($I154,'Konstanten'!$A$6:$A$10,1))+($I154-INDEX('Konstanten'!$A$6:$A$10,MATCH($I154,'Konstanten'!$A$6:$A$10,1)))/(INDEX('Konstanten'!$A$6:$A$10,MATCH($I154,'Konstanten'!$A$6:$A$10,1)+1)-INDEX('Konstanten'!$A$6:$A$10,MATCH($I154,'Konstanten'!$A$6:$A$10,1)))*(INDEX('Konstanten'!$C$6:$C$10,MATCH($I154,'Konstanten'!$A$6:$A$10,1)+1)-INDEX('Konstanten'!$C$6:$C$10,MATCH($I154,'Konstanten'!$A$6:$A$10,1))),INDEX('Konstanten'!$C$6:$C$10,MATCH($I154,'Konstanten'!$A$6:$A$10,1))),""))</f>
        <v/>
      </c>
      <c r="Q154" s="63">
        <f>IF(OR($B154="",$N154="",$O154="",$P154=""),"",'Konstanten'!$C$13*$O154*$P154^(1-($J154/1000)/0.075)*'Konstanten'!$C$14^'Konstanten'!$C$16*'Konstanten'!$C$15^'Konstanten'!$C$17*$N154)</f>
        <v/>
      </c>
      <c r="R154" s="64">
        <f>IF(OR($B154="",$Q154=""),"",$E154+$Q154/'Grundeinstellungen'!$J$6)</f>
        <v/>
      </c>
      <c r="S154" s="64">
        <f>IF($B154="","",IFERROR(VLOOKUP($M154,'Konstanten'!$H$6:$I$13,2,FALSE),29))</f>
        <v/>
      </c>
      <c r="T154" s="65">
        <f>IF(OR($B154="",$Q154=""),"",$Q154*$H154)</f>
        <v/>
      </c>
      <c r="U154" s="66">
        <f>IF(OR($B154="",$T154=""),"",$T154-$F154)</f>
        <v/>
      </c>
      <c r="V154" s="67">
        <f>IF(OR($B154="",$T154=""),"",IFERROR($T154/$F154,""))</f>
        <v/>
      </c>
      <c r="W154" s="65">
        <f>IF(OR($B154="",$H154=""),"",'Grundeinstellungen'!$J$13*$H154)</f>
        <v/>
      </c>
      <c r="X154" s="65">
        <f>IF(OR($B154="",$T154=""),"",MIN($T154,$F154)+$W154)</f>
        <v/>
      </c>
      <c r="Y154" s="68">
        <f>IF($B154="","",IFERROR($H154/($J154/1000),""))</f>
        <v/>
      </c>
      <c r="Z154" s="68">
        <f>IF($B154="","",IFERROR(2*$L154*$K154,""))</f>
        <v/>
      </c>
      <c r="AA154" s="68">
        <f>IF(OR($B154="",$Y154="",$Z154=""),"",$Y154+$Z154)</f>
        <v/>
      </c>
      <c r="AB154" s="68">
        <f>IF(OR($B154="",$AA154=""),"",IFERROR($AA154/$K154,""))</f>
        <v/>
      </c>
      <c r="AC154" s="69">
        <f>IF(OR($B154="",$X154=""),"",IFERROR(($X154/$K154)/('Grundeinstellungen'!$C$16*('Grundeinstellungen'!$C$6-'Grundeinstellungen'!$C$7))*3600,""))</f>
        <v/>
      </c>
      <c r="AD154" s="70">
        <f>IF(OR($B154="",$AC154=""),"",$AC154/'Grundeinstellungen'!$C$15*1000)</f>
        <v/>
      </c>
      <c r="AE154" s="71">
        <f>IF(OR($B154="",$AC154=""),"",IFERROR($AC154/3600/'Grundeinstellungen'!$C$15/'Grundeinstellungen'!$J$22,""))</f>
        <v/>
      </c>
      <c r="AF154" s="72">
        <f>IF(OR($B154="",$AE154=""),"",IFERROR($AE154*'Grundeinstellungen'!$J$21/'Grundeinstellungen'!$C$17,""))</f>
        <v/>
      </c>
      <c r="AG154" s="73">
        <f>IF(OR($B154="",$AF154=""),"",IF($AF154&lt;2300,"laminar",IF($AF154&lt;4000,"Übergangsbereich","turbulent")))</f>
        <v/>
      </c>
      <c r="AH154" s="74">
        <f>IF(OR($B154="",$AF154=""),"",IF($AF154&lt;2300,64/$AF154,0.316/$AF154^0.25))</f>
        <v/>
      </c>
      <c r="AI154" s="75">
        <f>IF(OR($B154="",$AH154="",$AB154=""),"",IFERROR($AH154*($AB154/'Grundeinstellungen'!$J$21)*('Grundeinstellungen'!$C$15/2)*$AE154^2,""))</f>
        <v/>
      </c>
      <c r="AJ154" s="76">
        <f>IF(OR($B154="",$AI154="",$AB154=""),"",IFERROR($AI154/$AB154,""))</f>
        <v/>
      </c>
      <c r="AK154" s="75">
        <f>IF(OR($B154="",$AI154=""),"",$AI154*(1+'Grundeinstellungen'!$C$24)+'Grundeinstellungen'!$C$25)</f>
        <v/>
      </c>
    </row>
    <row r="155">
      <c r="A155" s="51" t="n"/>
      <c r="B155" s="51" t="n"/>
      <c r="C155" s="51" t="n"/>
      <c r="D155" s="52" t="n"/>
      <c r="E155" s="53" t="n"/>
      <c r="F155" s="54" t="n"/>
      <c r="G155" s="55">
        <f>IF($B155="","",IFERROR($F155/$D155,""))</f>
        <v/>
      </c>
      <c r="H155" s="52" t="n"/>
      <c r="I155" s="56" t="n"/>
      <c r="J155" s="57" t="n"/>
      <c r="K155" s="58" t="n"/>
      <c r="L155" s="59" t="n"/>
      <c r="M155" s="60" t="n"/>
      <c r="N155" s="61">
        <f>IF($B155="","",IFERROR(('Grundeinstellungen'!$C$6-'Grundeinstellungen'!$C$7)/LN(('Grundeinstellungen'!$C$6-$E155)/('Grundeinstellungen'!$C$7-$E155)),""))</f>
        <v/>
      </c>
      <c r="O155" s="62">
        <f>IF($B155="","",IFERROR(IFERROR(INDEX('Konstanten'!$B$6:$B$10,MATCH($I155,'Konstanten'!$A$6:$A$10,1))+($I155-INDEX('Konstanten'!$A$6:$A$10,MATCH($I155,'Konstanten'!$A$6:$A$10,1)))/(INDEX('Konstanten'!$A$6:$A$10,MATCH($I155,'Konstanten'!$A$6:$A$10,1)+1)-INDEX('Konstanten'!$A$6:$A$10,MATCH($I155,'Konstanten'!$A$6:$A$10,1)))*(INDEX('Konstanten'!$B$6:$B$10,MATCH($I155,'Konstanten'!$A$6:$A$10,1)+1)-INDEX('Konstanten'!$B$6:$B$10,MATCH($I155,'Konstanten'!$A$6:$A$10,1))),INDEX('Konstanten'!$B$6:$B$10,MATCH($I155,'Konstanten'!$A$6:$A$10,1))),""))</f>
        <v/>
      </c>
      <c r="P155" s="62">
        <f>IF($B155="","",IFERROR(IFERROR(INDEX('Konstanten'!$C$6:$C$10,MATCH($I155,'Konstanten'!$A$6:$A$10,1))+($I155-INDEX('Konstanten'!$A$6:$A$10,MATCH($I155,'Konstanten'!$A$6:$A$10,1)))/(INDEX('Konstanten'!$A$6:$A$10,MATCH($I155,'Konstanten'!$A$6:$A$10,1)+1)-INDEX('Konstanten'!$A$6:$A$10,MATCH($I155,'Konstanten'!$A$6:$A$10,1)))*(INDEX('Konstanten'!$C$6:$C$10,MATCH($I155,'Konstanten'!$A$6:$A$10,1)+1)-INDEX('Konstanten'!$C$6:$C$10,MATCH($I155,'Konstanten'!$A$6:$A$10,1))),INDEX('Konstanten'!$C$6:$C$10,MATCH($I155,'Konstanten'!$A$6:$A$10,1))),""))</f>
        <v/>
      </c>
      <c r="Q155" s="63">
        <f>IF(OR($B155="",$N155="",$O155="",$P155=""),"",'Konstanten'!$C$13*$O155*$P155^(1-($J155/1000)/0.075)*'Konstanten'!$C$14^'Konstanten'!$C$16*'Konstanten'!$C$15^'Konstanten'!$C$17*$N155)</f>
        <v/>
      </c>
      <c r="R155" s="64">
        <f>IF(OR($B155="",$Q155=""),"",$E155+$Q155/'Grundeinstellungen'!$J$6)</f>
        <v/>
      </c>
      <c r="S155" s="64">
        <f>IF($B155="","",IFERROR(VLOOKUP($M155,'Konstanten'!$H$6:$I$13,2,FALSE),29))</f>
        <v/>
      </c>
      <c r="T155" s="65">
        <f>IF(OR($B155="",$Q155=""),"",$Q155*$H155)</f>
        <v/>
      </c>
      <c r="U155" s="66">
        <f>IF(OR($B155="",$T155=""),"",$T155-$F155)</f>
        <v/>
      </c>
      <c r="V155" s="67">
        <f>IF(OR($B155="",$T155=""),"",IFERROR($T155/$F155,""))</f>
        <v/>
      </c>
      <c r="W155" s="65">
        <f>IF(OR($B155="",$H155=""),"",'Grundeinstellungen'!$J$13*$H155)</f>
        <v/>
      </c>
      <c r="X155" s="65">
        <f>IF(OR($B155="",$T155=""),"",MIN($T155,$F155)+$W155)</f>
        <v/>
      </c>
      <c r="Y155" s="68">
        <f>IF($B155="","",IFERROR($H155/($J155/1000),""))</f>
        <v/>
      </c>
      <c r="Z155" s="68">
        <f>IF($B155="","",IFERROR(2*$L155*$K155,""))</f>
        <v/>
      </c>
      <c r="AA155" s="68">
        <f>IF(OR($B155="",$Y155="",$Z155=""),"",$Y155+$Z155)</f>
        <v/>
      </c>
      <c r="AB155" s="68">
        <f>IF(OR($B155="",$AA155=""),"",IFERROR($AA155/$K155,""))</f>
        <v/>
      </c>
      <c r="AC155" s="69">
        <f>IF(OR($B155="",$X155=""),"",IFERROR(($X155/$K155)/('Grundeinstellungen'!$C$16*('Grundeinstellungen'!$C$6-'Grundeinstellungen'!$C$7))*3600,""))</f>
        <v/>
      </c>
      <c r="AD155" s="70">
        <f>IF(OR($B155="",$AC155=""),"",$AC155/'Grundeinstellungen'!$C$15*1000)</f>
        <v/>
      </c>
      <c r="AE155" s="71">
        <f>IF(OR($B155="",$AC155=""),"",IFERROR($AC155/3600/'Grundeinstellungen'!$C$15/'Grundeinstellungen'!$J$22,""))</f>
        <v/>
      </c>
      <c r="AF155" s="72">
        <f>IF(OR($B155="",$AE155=""),"",IFERROR($AE155*'Grundeinstellungen'!$J$21/'Grundeinstellungen'!$C$17,""))</f>
        <v/>
      </c>
      <c r="AG155" s="73">
        <f>IF(OR($B155="",$AF155=""),"",IF($AF155&lt;2300,"laminar",IF($AF155&lt;4000,"Übergangsbereich","turbulent")))</f>
        <v/>
      </c>
      <c r="AH155" s="74">
        <f>IF(OR($B155="",$AF155=""),"",IF($AF155&lt;2300,64/$AF155,0.316/$AF155^0.25))</f>
        <v/>
      </c>
      <c r="AI155" s="75">
        <f>IF(OR($B155="",$AH155="",$AB155=""),"",IFERROR($AH155*($AB155/'Grundeinstellungen'!$J$21)*('Grundeinstellungen'!$C$15/2)*$AE155^2,""))</f>
        <v/>
      </c>
      <c r="AJ155" s="76">
        <f>IF(OR($B155="",$AI155="",$AB155=""),"",IFERROR($AI155/$AB155,""))</f>
        <v/>
      </c>
      <c r="AK155" s="75">
        <f>IF(OR($B155="",$AI155=""),"",$AI155*(1+'Grundeinstellungen'!$C$24)+'Grundeinstellungen'!$C$25)</f>
        <v/>
      </c>
    </row>
    <row r="156">
      <c r="A156" s="51" t="n"/>
      <c r="B156" s="51" t="n"/>
      <c r="C156" s="51" t="n"/>
      <c r="D156" s="52" t="n"/>
      <c r="E156" s="53" t="n"/>
      <c r="F156" s="54" t="n"/>
      <c r="G156" s="55">
        <f>IF($B156="","",IFERROR($F156/$D156,""))</f>
        <v/>
      </c>
      <c r="H156" s="52" t="n"/>
      <c r="I156" s="56" t="n"/>
      <c r="J156" s="57" t="n"/>
      <c r="K156" s="58" t="n"/>
      <c r="L156" s="59" t="n"/>
      <c r="M156" s="60" t="n"/>
      <c r="N156" s="61">
        <f>IF($B156="","",IFERROR(('Grundeinstellungen'!$C$6-'Grundeinstellungen'!$C$7)/LN(('Grundeinstellungen'!$C$6-$E156)/('Grundeinstellungen'!$C$7-$E156)),""))</f>
        <v/>
      </c>
      <c r="O156" s="62">
        <f>IF($B156="","",IFERROR(IFERROR(INDEX('Konstanten'!$B$6:$B$10,MATCH($I156,'Konstanten'!$A$6:$A$10,1))+($I156-INDEX('Konstanten'!$A$6:$A$10,MATCH($I156,'Konstanten'!$A$6:$A$10,1)))/(INDEX('Konstanten'!$A$6:$A$10,MATCH($I156,'Konstanten'!$A$6:$A$10,1)+1)-INDEX('Konstanten'!$A$6:$A$10,MATCH($I156,'Konstanten'!$A$6:$A$10,1)))*(INDEX('Konstanten'!$B$6:$B$10,MATCH($I156,'Konstanten'!$A$6:$A$10,1)+1)-INDEX('Konstanten'!$B$6:$B$10,MATCH($I156,'Konstanten'!$A$6:$A$10,1))),INDEX('Konstanten'!$B$6:$B$10,MATCH($I156,'Konstanten'!$A$6:$A$10,1))),""))</f>
        <v/>
      </c>
      <c r="P156" s="62">
        <f>IF($B156="","",IFERROR(IFERROR(INDEX('Konstanten'!$C$6:$C$10,MATCH($I156,'Konstanten'!$A$6:$A$10,1))+($I156-INDEX('Konstanten'!$A$6:$A$10,MATCH($I156,'Konstanten'!$A$6:$A$10,1)))/(INDEX('Konstanten'!$A$6:$A$10,MATCH($I156,'Konstanten'!$A$6:$A$10,1)+1)-INDEX('Konstanten'!$A$6:$A$10,MATCH($I156,'Konstanten'!$A$6:$A$10,1)))*(INDEX('Konstanten'!$C$6:$C$10,MATCH($I156,'Konstanten'!$A$6:$A$10,1)+1)-INDEX('Konstanten'!$C$6:$C$10,MATCH($I156,'Konstanten'!$A$6:$A$10,1))),INDEX('Konstanten'!$C$6:$C$10,MATCH($I156,'Konstanten'!$A$6:$A$10,1))),""))</f>
        <v/>
      </c>
      <c r="Q156" s="63">
        <f>IF(OR($B156="",$N156="",$O156="",$P156=""),"",'Konstanten'!$C$13*$O156*$P156^(1-($J156/1000)/0.075)*'Konstanten'!$C$14^'Konstanten'!$C$16*'Konstanten'!$C$15^'Konstanten'!$C$17*$N156)</f>
        <v/>
      </c>
      <c r="R156" s="64">
        <f>IF(OR($B156="",$Q156=""),"",$E156+$Q156/'Grundeinstellungen'!$J$6)</f>
        <v/>
      </c>
      <c r="S156" s="64">
        <f>IF($B156="","",IFERROR(VLOOKUP($M156,'Konstanten'!$H$6:$I$13,2,FALSE),29))</f>
        <v/>
      </c>
      <c r="T156" s="65">
        <f>IF(OR($B156="",$Q156=""),"",$Q156*$H156)</f>
        <v/>
      </c>
      <c r="U156" s="66">
        <f>IF(OR($B156="",$T156=""),"",$T156-$F156)</f>
        <v/>
      </c>
      <c r="V156" s="67">
        <f>IF(OR($B156="",$T156=""),"",IFERROR($T156/$F156,""))</f>
        <v/>
      </c>
      <c r="W156" s="65">
        <f>IF(OR($B156="",$H156=""),"",'Grundeinstellungen'!$J$13*$H156)</f>
        <v/>
      </c>
      <c r="X156" s="65">
        <f>IF(OR($B156="",$T156=""),"",MIN($T156,$F156)+$W156)</f>
        <v/>
      </c>
      <c r="Y156" s="68">
        <f>IF($B156="","",IFERROR($H156/($J156/1000),""))</f>
        <v/>
      </c>
      <c r="Z156" s="68">
        <f>IF($B156="","",IFERROR(2*$L156*$K156,""))</f>
        <v/>
      </c>
      <c r="AA156" s="68">
        <f>IF(OR($B156="",$Y156="",$Z156=""),"",$Y156+$Z156)</f>
        <v/>
      </c>
      <c r="AB156" s="68">
        <f>IF(OR($B156="",$AA156=""),"",IFERROR($AA156/$K156,""))</f>
        <v/>
      </c>
      <c r="AC156" s="69">
        <f>IF(OR($B156="",$X156=""),"",IFERROR(($X156/$K156)/('Grundeinstellungen'!$C$16*('Grundeinstellungen'!$C$6-'Grundeinstellungen'!$C$7))*3600,""))</f>
        <v/>
      </c>
      <c r="AD156" s="70">
        <f>IF(OR($B156="",$AC156=""),"",$AC156/'Grundeinstellungen'!$C$15*1000)</f>
        <v/>
      </c>
      <c r="AE156" s="71">
        <f>IF(OR($B156="",$AC156=""),"",IFERROR($AC156/3600/'Grundeinstellungen'!$C$15/'Grundeinstellungen'!$J$22,""))</f>
        <v/>
      </c>
      <c r="AF156" s="72">
        <f>IF(OR($B156="",$AE156=""),"",IFERROR($AE156*'Grundeinstellungen'!$J$21/'Grundeinstellungen'!$C$17,""))</f>
        <v/>
      </c>
      <c r="AG156" s="73">
        <f>IF(OR($B156="",$AF156=""),"",IF($AF156&lt;2300,"laminar",IF($AF156&lt;4000,"Übergangsbereich","turbulent")))</f>
        <v/>
      </c>
      <c r="AH156" s="74">
        <f>IF(OR($B156="",$AF156=""),"",IF($AF156&lt;2300,64/$AF156,0.316/$AF156^0.25))</f>
        <v/>
      </c>
      <c r="AI156" s="75">
        <f>IF(OR($B156="",$AH156="",$AB156=""),"",IFERROR($AH156*($AB156/'Grundeinstellungen'!$J$21)*('Grundeinstellungen'!$C$15/2)*$AE156^2,""))</f>
        <v/>
      </c>
      <c r="AJ156" s="76">
        <f>IF(OR($B156="",$AI156="",$AB156=""),"",IFERROR($AI156/$AB156,""))</f>
        <v/>
      </c>
      <c r="AK156" s="75">
        <f>IF(OR($B156="",$AI156=""),"",$AI156*(1+'Grundeinstellungen'!$C$24)+'Grundeinstellungen'!$C$25)</f>
        <v/>
      </c>
    </row>
    <row r="157">
      <c r="A157" s="51" t="n"/>
      <c r="B157" s="51" t="n"/>
      <c r="C157" s="51" t="n"/>
      <c r="D157" s="52" t="n"/>
      <c r="E157" s="53" t="n"/>
      <c r="F157" s="54" t="n"/>
      <c r="G157" s="55">
        <f>IF($B157="","",IFERROR($F157/$D157,""))</f>
        <v/>
      </c>
      <c r="H157" s="52" t="n"/>
      <c r="I157" s="56" t="n"/>
      <c r="J157" s="57" t="n"/>
      <c r="K157" s="58" t="n"/>
      <c r="L157" s="59" t="n"/>
      <c r="M157" s="60" t="n"/>
      <c r="N157" s="61">
        <f>IF($B157="","",IFERROR(('Grundeinstellungen'!$C$6-'Grundeinstellungen'!$C$7)/LN(('Grundeinstellungen'!$C$6-$E157)/('Grundeinstellungen'!$C$7-$E157)),""))</f>
        <v/>
      </c>
      <c r="O157" s="62">
        <f>IF($B157="","",IFERROR(IFERROR(INDEX('Konstanten'!$B$6:$B$10,MATCH($I157,'Konstanten'!$A$6:$A$10,1))+($I157-INDEX('Konstanten'!$A$6:$A$10,MATCH($I157,'Konstanten'!$A$6:$A$10,1)))/(INDEX('Konstanten'!$A$6:$A$10,MATCH($I157,'Konstanten'!$A$6:$A$10,1)+1)-INDEX('Konstanten'!$A$6:$A$10,MATCH($I157,'Konstanten'!$A$6:$A$10,1)))*(INDEX('Konstanten'!$B$6:$B$10,MATCH($I157,'Konstanten'!$A$6:$A$10,1)+1)-INDEX('Konstanten'!$B$6:$B$10,MATCH($I157,'Konstanten'!$A$6:$A$10,1))),INDEX('Konstanten'!$B$6:$B$10,MATCH($I157,'Konstanten'!$A$6:$A$10,1))),""))</f>
        <v/>
      </c>
      <c r="P157" s="62">
        <f>IF($B157="","",IFERROR(IFERROR(INDEX('Konstanten'!$C$6:$C$10,MATCH($I157,'Konstanten'!$A$6:$A$10,1))+($I157-INDEX('Konstanten'!$A$6:$A$10,MATCH($I157,'Konstanten'!$A$6:$A$10,1)))/(INDEX('Konstanten'!$A$6:$A$10,MATCH($I157,'Konstanten'!$A$6:$A$10,1)+1)-INDEX('Konstanten'!$A$6:$A$10,MATCH($I157,'Konstanten'!$A$6:$A$10,1)))*(INDEX('Konstanten'!$C$6:$C$10,MATCH($I157,'Konstanten'!$A$6:$A$10,1)+1)-INDEX('Konstanten'!$C$6:$C$10,MATCH($I157,'Konstanten'!$A$6:$A$10,1))),INDEX('Konstanten'!$C$6:$C$10,MATCH($I157,'Konstanten'!$A$6:$A$10,1))),""))</f>
        <v/>
      </c>
      <c r="Q157" s="63">
        <f>IF(OR($B157="",$N157="",$O157="",$P157=""),"",'Konstanten'!$C$13*$O157*$P157^(1-($J157/1000)/0.075)*'Konstanten'!$C$14^'Konstanten'!$C$16*'Konstanten'!$C$15^'Konstanten'!$C$17*$N157)</f>
        <v/>
      </c>
      <c r="R157" s="64">
        <f>IF(OR($B157="",$Q157=""),"",$E157+$Q157/'Grundeinstellungen'!$J$6)</f>
        <v/>
      </c>
      <c r="S157" s="64">
        <f>IF($B157="","",IFERROR(VLOOKUP($M157,'Konstanten'!$H$6:$I$13,2,FALSE),29))</f>
        <v/>
      </c>
      <c r="T157" s="65">
        <f>IF(OR($B157="",$Q157=""),"",$Q157*$H157)</f>
        <v/>
      </c>
      <c r="U157" s="66">
        <f>IF(OR($B157="",$T157=""),"",$T157-$F157)</f>
        <v/>
      </c>
      <c r="V157" s="67">
        <f>IF(OR($B157="",$T157=""),"",IFERROR($T157/$F157,""))</f>
        <v/>
      </c>
      <c r="W157" s="65">
        <f>IF(OR($B157="",$H157=""),"",'Grundeinstellungen'!$J$13*$H157)</f>
        <v/>
      </c>
      <c r="X157" s="65">
        <f>IF(OR($B157="",$T157=""),"",MIN($T157,$F157)+$W157)</f>
        <v/>
      </c>
      <c r="Y157" s="68">
        <f>IF($B157="","",IFERROR($H157/($J157/1000),""))</f>
        <v/>
      </c>
      <c r="Z157" s="68">
        <f>IF($B157="","",IFERROR(2*$L157*$K157,""))</f>
        <v/>
      </c>
      <c r="AA157" s="68">
        <f>IF(OR($B157="",$Y157="",$Z157=""),"",$Y157+$Z157)</f>
        <v/>
      </c>
      <c r="AB157" s="68">
        <f>IF(OR($B157="",$AA157=""),"",IFERROR($AA157/$K157,""))</f>
        <v/>
      </c>
      <c r="AC157" s="69">
        <f>IF(OR($B157="",$X157=""),"",IFERROR(($X157/$K157)/('Grundeinstellungen'!$C$16*('Grundeinstellungen'!$C$6-'Grundeinstellungen'!$C$7))*3600,""))</f>
        <v/>
      </c>
      <c r="AD157" s="70">
        <f>IF(OR($B157="",$AC157=""),"",$AC157/'Grundeinstellungen'!$C$15*1000)</f>
        <v/>
      </c>
      <c r="AE157" s="71">
        <f>IF(OR($B157="",$AC157=""),"",IFERROR($AC157/3600/'Grundeinstellungen'!$C$15/'Grundeinstellungen'!$J$22,""))</f>
        <v/>
      </c>
      <c r="AF157" s="72">
        <f>IF(OR($B157="",$AE157=""),"",IFERROR($AE157*'Grundeinstellungen'!$J$21/'Grundeinstellungen'!$C$17,""))</f>
        <v/>
      </c>
      <c r="AG157" s="73">
        <f>IF(OR($B157="",$AF157=""),"",IF($AF157&lt;2300,"laminar",IF($AF157&lt;4000,"Übergangsbereich","turbulent")))</f>
        <v/>
      </c>
      <c r="AH157" s="74">
        <f>IF(OR($B157="",$AF157=""),"",IF($AF157&lt;2300,64/$AF157,0.316/$AF157^0.25))</f>
        <v/>
      </c>
      <c r="AI157" s="75">
        <f>IF(OR($B157="",$AH157="",$AB157=""),"",IFERROR($AH157*($AB157/'Grundeinstellungen'!$J$21)*('Grundeinstellungen'!$C$15/2)*$AE157^2,""))</f>
        <v/>
      </c>
      <c r="AJ157" s="76">
        <f>IF(OR($B157="",$AI157="",$AB157=""),"",IFERROR($AI157/$AB157,""))</f>
        <v/>
      </c>
      <c r="AK157" s="75">
        <f>IF(OR($B157="",$AI157=""),"",$AI157*(1+'Grundeinstellungen'!$C$24)+'Grundeinstellungen'!$C$25)</f>
        <v/>
      </c>
    </row>
    <row r="158">
      <c r="A158" s="51" t="n"/>
      <c r="B158" s="51" t="n"/>
      <c r="C158" s="51" t="n"/>
      <c r="D158" s="52" t="n"/>
      <c r="E158" s="53" t="n"/>
      <c r="F158" s="54" t="n"/>
      <c r="G158" s="55">
        <f>IF($B158="","",IFERROR($F158/$D158,""))</f>
        <v/>
      </c>
      <c r="H158" s="52" t="n"/>
      <c r="I158" s="56" t="n"/>
      <c r="J158" s="57" t="n"/>
      <c r="K158" s="58" t="n"/>
      <c r="L158" s="59" t="n"/>
      <c r="M158" s="60" t="n"/>
      <c r="N158" s="61">
        <f>IF($B158="","",IFERROR(('Grundeinstellungen'!$C$6-'Grundeinstellungen'!$C$7)/LN(('Grundeinstellungen'!$C$6-$E158)/('Grundeinstellungen'!$C$7-$E158)),""))</f>
        <v/>
      </c>
      <c r="O158" s="62">
        <f>IF($B158="","",IFERROR(IFERROR(INDEX('Konstanten'!$B$6:$B$10,MATCH($I158,'Konstanten'!$A$6:$A$10,1))+($I158-INDEX('Konstanten'!$A$6:$A$10,MATCH($I158,'Konstanten'!$A$6:$A$10,1)))/(INDEX('Konstanten'!$A$6:$A$10,MATCH($I158,'Konstanten'!$A$6:$A$10,1)+1)-INDEX('Konstanten'!$A$6:$A$10,MATCH($I158,'Konstanten'!$A$6:$A$10,1)))*(INDEX('Konstanten'!$B$6:$B$10,MATCH($I158,'Konstanten'!$A$6:$A$10,1)+1)-INDEX('Konstanten'!$B$6:$B$10,MATCH($I158,'Konstanten'!$A$6:$A$10,1))),INDEX('Konstanten'!$B$6:$B$10,MATCH($I158,'Konstanten'!$A$6:$A$10,1))),""))</f>
        <v/>
      </c>
      <c r="P158" s="62">
        <f>IF($B158="","",IFERROR(IFERROR(INDEX('Konstanten'!$C$6:$C$10,MATCH($I158,'Konstanten'!$A$6:$A$10,1))+($I158-INDEX('Konstanten'!$A$6:$A$10,MATCH($I158,'Konstanten'!$A$6:$A$10,1)))/(INDEX('Konstanten'!$A$6:$A$10,MATCH($I158,'Konstanten'!$A$6:$A$10,1)+1)-INDEX('Konstanten'!$A$6:$A$10,MATCH($I158,'Konstanten'!$A$6:$A$10,1)))*(INDEX('Konstanten'!$C$6:$C$10,MATCH($I158,'Konstanten'!$A$6:$A$10,1)+1)-INDEX('Konstanten'!$C$6:$C$10,MATCH($I158,'Konstanten'!$A$6:$A$10,1))),INDEX('Konstanten'!$C$6:$C$10,MATCH($I158,'Konstanten'!$A$6:$A$10,1))),""))</f>
        <v/>
      </c>
      <c r="Q158" s="63">
        <f>IF(OR($B158="",$N158="",$O158="",$P158=""),"",'Konstanten'!$C$13*$O158*$P158^(1-($J158/1000)/0.075)*'Konstanten'!$C$14^'Konstanten'!$C$16*'Konstanten'!$C$15^'Konstanten'!$C$17*$N158)</f>
        <v/>
      </c>
      <c r="R158" s="64">
        <f>IF(OR($B158="",$Q158=""),"",$E158+$Q158/'Grundeinstellungen'!$J$6)</f>
        <v/>
      </c>
      <c r="S158" s="64">
        <f>IF($B158="","",IFERROR(VLOOKUP($M158,'Konstanten'!$H$6:$I$13,2,FALSE),29))</f>
        <v/>
      </c>
      <c r="T158" s="65">
        <f>IF(OR($B158="",$Q158=""),"",$Q158*$H158)</f>
        <v/>
      </c>
      <c r="U158" s="66">
        <f>IF(OR($B158="",$T158=""),"",$T158-$F158)</f>
        <v/>
      </c>
      <c r="V158" s="67">
        <f>IF(OR($B158="",$T158=""),"",IFERROR($T158/$F158,""))</f>
        <v/>
      </c>
      <c r="W158" s="65">
        <f>IF(OR($B158="",$H158=""),"",'Grundeinstellungen'!$J$13*$H158)</f>
        <v/>
      </c>
      <c r="X158" s="65">
        <f>IF(OR($B158="",$T158=""),"",MIN($T158,$F158)+$W158)</f>
        <v/>
      </c>
      <c r="Y158" s="68">
        <f>IF($B158="","",IFERROR($H158/($J158/1000),""))</f>
        <v/>
      </c>
      <c r="Z158" s="68">
        <f>IF($B158="","",IFERROR(2*$L158*$K158,""))</f>
        <v/>
      </c>
      <c r="AA158" s="68">
        <f>IF(OR($B158="",$Y158="",$Z158=""),"",$Y158+$Z158)</f>
        <v/>
      </c>
      <c r="AB158" s="68">
        <f>IF(OR($B158="",$AA158=""),"",IFERROR($AA158/$K158,""))</f>
        <v/>
      </c>
      <c r="AC158" s="69">
        <f>IF(OR($B158="",$X158=""),"",IFERROR(($X158/$K158)/('Grundeinstellungen'!$C$16*('Grundeinstellungen'!$C$6-'Grundeinstellungen'!$C$7))*3600,""))</f>
        <v/>
      </c>
      <c r="AD158" s="70">
        <f>IF(OR($B158="",$AC158=""),"",$AC158/'Grundeinstellungen'!$C$15*1000)</f>
        <v/>
      </c>
      <c r="AE158" s="71">
        <f>IF(OR($B158="",$AC158=""),"",IFERROR($AC158/3600/'Grundeinstellungen'!$C$15/'Grundeinstellungen'!$J$22,""))</f>
        <v/>
      </c>
      <c r="AF158" s="72">
        <f>IF(OR($B158="",$AE158=""),"",IFERROR($AE158*'Grundeinstellungen'!$J$21/'Grundeinstellungen'!$C$17,""))</f>
        <v/>
      </c>
      <c r="AG158" s="73">
        <f>IF(OR($B158="",$AF158=""),"",IF($AF158&lt;2300,"laminar",IF($AF158&lt;4000,"Übergangsbereich","turbulent")))</f>
        <v/>
      </c>
      <c r="AH158" s="74">
        <f>IF(OR($B158="",$AF158=""),"",IF($AF158&lt;2300,64/$AF158,0.316/$AF158^0.25))</f>
        <v/>
      </c>
      <c r="AI158" s="75">
        <f>IF(OR($B158="",$AH158="",$AB158=""),"",IFERROR($AH158*($AB158/'Grundeinstellungen'!$J$21)*('Grundeinstellungen'!$C$15/2)*$AE158^2,""))</f>
        <v/>
      </c>
      <c r="AJ158" s="76">
        <f>IF(OR($B158="",$AI158="",$AB158=""),"",IFERROR($AI158/$AB158,""))</f>
        <v/>
      </c>
      <c r="AK158" s="75">
        <f>IF(OR($B158="",$AI158=""),"",$AI158*(1+'Grundeinstellungen'!$C$24)+'Grundeinstellungen'!$C$25)</f>
        <v/>
      </c>
    </row>
    <row r="159">
      <c r="A159" s="51" t="n"/>
      <c r="B159" s="51" t="n"/>
      <c r="C159" s="51" t="n"/>
      <c r="D159" s="52" t="n"/>
      <c r="E159" s="53" t="n"/>
      <c r="F159" s="54" t="n"/>
      <c r="G159" s="55">
        <f>IF($B159="","",IFERROR($F159/$D159,""))</f>
        <v/>
      </c>
      <c r="H159" s="52" t="n"/>
      <c r="I159" s="56" t="n"/>
      <c r="J159" s="57" t="n"/>
      <c r="K159" s="58" t="n"/>
      <c r="L159" s="59" t="n"/>
      <c r="M159" s="60" t="n"/>
      <c r="N159" s="61">
        <f>IF($B159="","",IFERROR(('Grundeinstellungen'!$C$6-'Grundeinstellungen'!$C$7)/LN(('Grundeinstellungen'!$C$6-$E159)/('Grundeinstellungen'!$C$7-$E159)),""))</f>
        <v/>
      </c>
      <c r="O159" s="62">
        <f>IF($B159="","",IFERROR(IFERROR(INDEX('Konstanten'!$B$6:$B$10,MATCH($I159,'Konstanten'!$A$6:$A$10,1))+($I159-INDEX('Konstanten'!$A$6:$A$10,MATCH($I159,'Konstanten'!$A$6:$A$10,1)))/(INDEX('Konstanten'!$A$6:$A$10,MATCH($I159,'Konstanten'!$A$6:$A$10,1)+1)-INDEX('Konstanten'!$A$6:$A$10,MATCH($I159,'Konstanten'!$A$6:$A$10,1)))*(INDEX('Konstanten'!$B$6:$B$10,MATCH($I159,'Konstanten'!$A$6:$A$10,1)+1)-INDEX('Konstanten'!$B$6:$B$10,MATCH($I159,'Konstanten'!$A$6:$A$10,1))),INDEX('Konstanten'!$B$6:$B$10,MATCH($I159,'Konstanten'!$A$6:$A$10,1))),""))</f>
        <v/>
      </c>
      <c r="P159" s="62">
        <f>IF($B159="","",IFERROR(IFERROR(INDEX('Konstanten'!$C$6:$C$10,MATCH($I159,'Konstanten'!$A$6:$A$10,1))+($I159-INDEX('Konstanten'!$A$6:$A$10,MATCH($I159,'Konstanten'!$A$6:$A$10,1)))/(INDEX('Konstanten'!$A$6:$A$10,MATCH($I159,'Konstanten'!$A$6:$A$10,1)+1)-INDEX('Konstanten'!$A$6:$A$10,MATCH($I159,'Konstanten'!$A$6:$A$10,1)))*(INDEX('Konstanten'!$C$6:$C$10,MATCH($I159,'Konstanten'!$A$6:$A$10,1)+1)-INDEX('Konstanten'!$C$6:$C$10,MATCH($I159,'Konstanten'!$A$6:$A$10,1))),INDEX('Konstanten'!$C$6:$C$10,MATCH($I159,'Konstanten'!$A$6:$A$10,1))),""))</f>
        <v/>
      </c>
      <c r="Q159" s="63">
        <f>IF(OR($B159="",$N159="",$O159="",$P159=""),"",'Konstanten'!$C$13*$O159*$P159^(1-($J159/1000)/0.075)*'Konstanten'!$C$14^'Konstanten'!$C$16*'Konstanten'!$C$15^'Konstanten'!$C$17*$N159)</f>
        <v/>
      </c>
      <c r="R159" s="64">
        <f>IF(OR($B159="",$Q159=""),"",$E159+$Q159/'Grundeinstellungen'!$J$6)</f>
        <v/>
      </c>
      <c r="S159" s="64">
        <f>IF($B159="","",IFERROR(VLOOKUP($M159,'Konstanten'!$H$6:$I$13,2,FALSE),29))</f>
        <v/>
      </c>
      <c r="T159" s="65">
        <f>IF(OR($B159="",$Q159=""),"",$Q159*$H159)</f>
        <v/>
      </c>
      <c r="U159" s="66">
        <f>IF(OR($B159="",$T159=""),"",$T159-$F159)</f>
        <v/>
      </c>
      <c r="V159" s="67">
        <f>IF(OR($B159="",$T159=""),"",IFERROR($T159/$F159,""))</f>
        <v/>
      </c>
      <c r="W159" s="65">
        <f>IF(OR($B159="",$H159=""),"",'Grundeinstellungen'!$J$13*$H159)</f>
        <v/>
      </c>
      <c r="X159" s="65">
        <f>IF(OR($B159="",$T159=""),"",MIN($T159,$F159)+$W159)</f>
        <v/>
      </c>
      <c r="Y159" s="68">
        <f>IF($B159="","",IFERROR($H159/($J159/1000),""))</f>
        <v/>
      </c>
      <c r="Z159" s="68">
        <f>IF($B159="","",IFERROR(2*$L159*$K159,""))</f>
        <v/>
      </c>
      <c r="AA159" s="68">
        <f>IF(OR($B159="",$Y159="",$Z159=""),"",$Y159+$Z159)</f>
        <v/>
      </c>
      <c r="AB159" s="68">
        <f>IF(OR($B159="",$AA159=""),"",IFERROR($AA159/$K159,""))</f>
        <v/>
      </c>
      <c r="AC159" s="69">
        <f>IF(OR($B159="",$X159=""),"",IFERROR(($X159/$K159)/('Grundeinstellungen'!$C$16*('Grundeinstellungen'!$C$6-'Grundeinstellungen'!$C$7))*3600,""))</f>
        <v/>
      </c>
      <c r="AD159" s="70">
        <f>IF(OR($B159="",$AC159=""),"",$AC159/'Grundeinstellungen'!$C$15*1000)</f>
        <v/>
      </c>
      <c r="AE159" s="71">
        <f>IF(OR($B159="",$AC159=""),"",IFERROR($AC159/3600/'Grundeinstellungen'!$C$15/'Grundeinstellungen'!$J$22,""))</f>
        <v/>
      </c>
      <c r="AF159" s="72">
        <f>IF(OR($B159="",$AE159=""),"",IFERROR($AE159*'Grundeinstellungen'!$J$21/'Grundeinstellungen'!$C$17,""))</f>
        <v/>
      </c>
      <c r="AG159" s="73">
        <f>IF(OR($B159="",$AF159=""),"",IF($AF159&lt;2300,"laminar",IF($AF159&lt;4000,"Übergangsbereich","turbulent")))</f>
        <v/>
      </c>
      <c r="AH159" s="74">
        <f>IF(OR($B159="",$AF159=""),"",IF($AF159&lt;2300,64/$AF159,0.316/$AF159^0.25))</f>
        <v/>
      </c>
      <c r="AI159" s="75">
        <f>IF(OR($B159="",$AH159="",$AB159=""),"",IFERROR($AH159*($AB159/'Grundeinstellungen'!$J$21)*('Grundeinstellungen'!$C$15/2)*$AE159^2,""))</f>
        <v/>
      </c>
      <c r="AJ159" s="76">
        <f>IF(OR($B159="",$AI159="",$AB159=""),"",IFERROR($AI159/$AB159,""))</f>
        <v/>
      </c>
      <c r="AK159" s="75">
        <f>IF(OR($B159="",$AI159=""),"",$AI159*(1+'Grundeinstellungen'!$C$24)+'Grundeinstellungen'!$C$25)</f>
        <v/>
      </c>
    </row>
    <row r="160">
      <c r="A160" s="51" t="n"/>
      <c r="B160" s="51" t="n"/>
      <c r="C160" s="51" t="n"/>
      <c r="D160" s="52" t="n"/>
      <c r="E160" s="53" t="n"/>
      <c r="F160" s="54" t="n"/>
      <c r="G160" s="55">
        <f>IF($B160="","",IFERROR($F160/$D160,""))</f>
        <v/>
      </c>
      <c r="H160" s="52" t="n"/>
      <c r="I160" s="56" t="n"/>
      <c r="J160" s="57" t="n"/>
      <c r="K160" s="58" t="n"/>
      <c r="L160" s="59" t="n"/>
      <c r="M160" s="60" t="n"/>
      <c r="N160" s="61">
        <f>IF($B160="","",IFERROR(('Grundeinstellungen'!$C$6-'Grundeinstellungen'!$C$7)/LN(('Grundeinstellungen'!$C$6-$E160)/('Grundeinstellungen'!$C$7-$E160)),""))</f>
        <v/>
      </c>
      <c r="O160" s="62">
        <f>IF($B160="","",IFERROR(IFERROR(INDEX('Konstanten'!$B$6:$B$10,MATCH($I160,'Konstanten'!$A$6:$A$10,1))+($I160-INDEX('Konstanten'!$A$6:$A$10,MATCH($I160,'Konstanten'!$A$6:$A$10,1)))/(INDEX('Konstanten'!$A$6:$A$10,MATCH($I160,'Konstanten'!$A$6:$A$10,1)+1)-INDEX('Konstanten'!$A$6:$A$10,MATCH($I160,'Konstanten'!$A$6:$A$10,1)))*(INDEX('Konstanten'!$B$6:$B$10,MATCH($I160,'Konstanten'!$A$6:$A$10,1)+1)-INDEX('Konstanten'!$B$6:$B$10,MATCH($I160,'Konstanten'!$A$6:$A$10,1))),INDEX('Konstanten'!$B$6:$B$10,MATCH($I160,'Konstanten'!$A$6:$A$10,1))),""))</f>
        <v/>
      </c>
      <c r="P160" s="62">
        <f>IF($B160="","",IFERROR(IFERROR(INDEX('Konstanten'!$C$6:$C$10,MATCH($I160,'Konstanten'!$A$6:$A$10,1))+($I160-INDEX('Konstanten'!$A$6:$A$10,MATCH($I160,'Konstanten'!$A$6:$A$10,1)))/(INDEX('Konstanten'!$A$6:$A$10,MATCH($I160,'Konstanten'!$A$6:$A$10,1)+1)-INDEX('Konstanten'!$A$6:$A$10,MATCH($I160,'Konstanten'!$A$6:$A$10,1)))*(INDEX('Konstanten'!$C$6:$C$10,MATCH($I160,'Konstanten'!$A$6:$A$10,1)+1)-INDEX('Konstanten'!$C$6:$C$10,MATCH($I160,'Konstanten'!$A$6:$A$10,1))),INDEX('Konstanten'!$C$6:$C$10,MATCH($I160,'Konstanten'!$A$6:$A$10,1))),""))</f>
        <v/>
      </c>
      <c r="Q160" s="63">
        <f>IF(OR($B160="",$N160="",$O160="",$P160=""),"",'Konstanten'!$C$13*$O160*$P160^(1-($J160/1000)/0.075)*'Konstanten'!$C$14^'Konstanten'!$C$16*'Konstanten'!$C$15^'Konstanten'!$C$17*$N160)</f>
        <v/>
      </c>
      <c r="R160" s="64">
        <f>IF(OR($B160="",$Q160=""),"",$E160+$Q160/'Grundeinstellungen'!$J$6)</f>
        <v/>
      </c>
      <c r="S160" s="64">
        <f>IF($B160="","",IFERROR(VLOOKUP($M160,'Konstanten'!$H$6:$I$13,2,FALSE),29))</f>
        <v/>
      </c>
      <c r="T160" s="65">
        <f>IF(OR($B160="",$Q160=""),"",$Q160*$H160)</f>
        <v/>
      </c>
      <c r="U160" s="66">
        <f>IF(OR($B160="",$T160=""),"",$T160-$F160)</f>
        <v/>
      </c>
      <c r="V160" s="67">
        <f>IF(OR($B160="",$T160=""),"",IFERROR($T160/$F160,""))</f>
        <v/>
      </c>
      <c r="W160" s="65">
        <f>IF(OR($B160="",$H160=""),"",'Grundeinstellungen'!$J$13*$H160)</f>
        <v/>
      </c>
      <c r="X160" s="65">
        <f>IF(OR($B160="",$T160=""),"",MIN($T160,$F160)+$W160)</f>
        <v/>
      </c>
      <c r="Y160" s="68">
        <f>IF($B160="","",IFERROR($H160/($J160/1000),""))</f>
        <v/>
      </c>
      <c r="Z160" s="68">
        <f>IF($B160="","",IFERROR(2*$L160*$K160,""))</f>
        <v/>
      </c>
      <c r="AA160" s="68">
        <f>IF(OR($B160="",$Y160="",$Z160=""),"",$Y160+$Z160)</f>
        <v/>
      </c>
      <c r="AB160" s="68">
        <f>IF(OR($B160="",$AA160=""),"",IFERROR($AA160/$K160,""))</f>
        <v/>
      </c>
      <c r="AC160" s="69">
        <f>IF(OR($B160="",$X160=""),"",IFERROR(($X160/$K160)/('Grundeinstellungen'!$C$16*('Grundeinstellungen'!$C$6-'Grundeinstellungen'!$C$7))*3600,""))</f>
        <v/>
      </c>
      <c r="AD160" s="70">
        <f>IF(OR($B160="",$AC160=""),"",$AC160/'Grundeinstellungen'!$C$15*1000)</f>
        <v/>
      </c>
      <c r="AE160" s="71">
        <f>IF(OR($B160="",$AC160=""),"",IFERROR($AC160/3600/'Grundeinstellungen'!$C$15/'Grundeinstellungen'!$J$22,""))</f>
        <v/>
      </c>
      <c r="AF160" s="72">
        <f>IF(OR($B160="",$AE160=""),"",IFERROR($AE160*'Grundeinstellungen'!$J$21/'Grundeinstellungen'!$C$17,""))</f>
        <v/>
      </c>
      <c r="AG160" s="73">
        <f>IF(OR($B160="",$AF160=""),"",IF($AF160&lt;2300,"laminar",IF($AF160&lt;4000,"Übergangsbereich","turbulent")))</f>
        <v/>
      </c>
      <c r="AH160" s="74">
        <f>IF(OR($B160="",$AF160=""),"",IF($AF160&lt;2300,64/$AF160,0.316/$AF160^0.25))</f>
        <v/>
      </c>
      <c r="AI160" s="75">
        <f>IF(OR($B160="",$AH160="",$AB160=""),"",IFERROR($AH160*($AB160/'Grundeinstellungen'!$J$21)*('Grundeinstellungen'!$C$15/2)*$AE160^2,""))</f>
        <v/>
      </c>
      <c r="AJ160" s="76">
        <f>IF(OR($B160="",$AI160="",$AB160=""),"",IFERROR($AI160/$AB160,""))</f>
        <v/>
      </c>
      <c r="AK160" s="75">
        <f>IF(OR($B160="",$AI160=""),"",$AI160*(1+'Grundeinstellungen'!$C$24)+'Grundeinstellungen'!$C$25)</f>
        <v/>
      </c>
    </row>
    <row r="161">
      <c r="A161" s="51" t="n"/>
      <c r="B161" s="51" t="n"/>
      <c r="C161" s="51" t="n"/>
      <c r="D161" s="52" t="n"/>
      <c r="E161" s="53" t="n"/>
      <c r="F161" s="54" t="n"/>
      <c r="G161" s="55">
        <f>IF($B161="","",IFERROR($F161/$D161,""))</f>
        <v/>
      </c>
      <c r="H161" s="52" t="n"/>
      <c r="I161" s="56" t="n"/>
      <c r="J161" s="57" t="n"/>
      <c r="K161" s="58" t="n"/>
      <c r="L161" s="59" t="n"/>
      <c r="M161" s="60" t="n"/>
      <c r="N161" s="61">
        <f>IF($B161="","",IFERROR(('Grundeinstellungen'!$C$6-'Grundeinstellungen'!$C$7)/LN(('Grundeinstellungen'!$C$6-$E161)/('Grundeinstellungen'!$C$7-$E161)),""))</f>
        <v/>
      </c>
      <c r="O161" s="62">
        <f>IF($B161="","",IFERROR(IFERROR(INDEX('Konstanten'!$B$6:$B$10,MATCH($I161,'Konstanten'!$A$6:$A$10,1))+($I161-INDEX('Konstanten'!$A$6:$A$10,MATCH($I161,'Konstanten'!$A$6:$A$10,1)))/(INDEX('Konstanten'!$A$6:$A$10,MATCH($I161,'Konstanten'!$A$6:$A$10,1)+1)-INDEX('Konstanten'!$A$6:$A$10,MATCH($I161,'Konstanten'!$A$6:$A$10,1)))*(INDEX('Konstanten'!$B$6:$B$10,MATCH($I161,'Konstanten'!$A$6:$A$10,1)+1)-INDEX('Konstanten'!$B$6:$B$10,MATCH($I161,'Konstanten'!$A$6:$A$10,1))),INDEX('Konstanten'!$B$6:$B$10,MATCH($I161,'Konstanten'!$A$6:$A$10,1))),""))</f>
        <v/>
      </c>
      <c r="P161" s="62">
        <f>IF($B161="","",IFERROR(IFERROR(INDEX('Konstanten'!$C$6:$C$10,MATCH($I161,'Konstanten'!$A$6:$A$10,1))+($I161-INDEX('Konstanten'!$A$6:$A$10,MATCH($I161,'Konstanten'!$A$6:$A$10,1)))/(INDEX('Konstanten'!$A$6:$A$10,MATCH($I161,'Konstanten'!$A$6:$A$10,1)+1)-INDEX('Konstanten'!$A$6:$A$10,MATCH($I161,'Konstanten'!$A$6:$A$10,1)))*(INDEX('Konstanten'!$C$6:$C$10,MATCH($I161,'Konstanten'!$A$6:$A$10,1)+1)-INDEX('Konstanten'!$C$6:$C$10,MATCH($I161,'Konstanten'!$A$6:$A$10,1))),INDEX('Konstanten'!$C$6:$C$10,MATCH($I161,'Konstanten'!$A$6:$A$10,1))),""))</f>
        <v/>
      </c>
      <c r="Q161" s="63">
        <f>IF(OR($B161="",$N161="",$O161="",$P161=""),"",'Konstanten'!$C$13*$O161*$P161^(1-($J161/1000)/0.075)*'Konstanten'!$C$14^'Konstanten'!$C$16*'Konstanten'!$C$15^'Konstanten'!$C$17*$N161)</f>
        <v/>
      </c>
      <c r="R161" s="64">
        <f>IF(OR($B161="",$Q161=""),"",$E161+$Q161/'Grundeinstellungen'!$J$6)</f>
        <v/>
      </c>
      <c r="S161" s="64">
        <f>IF($B161="","",IFERROR(VLOOKUP($M161,'Konstanten'!$H$6:$I$13,2,FALSE),29))</f>
        <v/>
      </c>
      <c r="T161" s="65">
        <f>IF(OR($B161="",$Q161=""),"",$Q161*$H161)</f>
        <v/>
      </c>
      <c r="U161" s="66">
        <f>IF(OR($B161="",$T161=""),"",$T161-$F161)</f>
        <v/>
      </c>
      <c r="V161" s="67">
        <f>IF(OR($B161="",$T161=""),"",IFERROR($T161/$F161,""))</f>
        <v/>
      </c>
      <c r="W161" s="65">
        <f>IF(OR($B161="",$H161=""),"",'Grundeinstellungen'!$J$13*$H161)</f>
        <v/>
      </c>
      <c r="X161" s="65">
        <f>IF(OR($B161="",$T161=""),"",MIN($T161,$F161)+$W161)</f>
        <v/>
      </c>
      <c r="Y161" s="68">
        <f>IF($B161="","",IFERROR($H161/($J161/1000),""))</f>
        <v/>
      </c>
      <c r="Z161" s="68">
        <f>IF($B161="","",IFERROR(2*$L161*$K161,""))</f>
        <v/>
      </c>
      <c r="AA161" s="68">
        <f>IF(OR($B161="",$Y161="",$Z161=""),"",$Y161+$Z161)</f>
        <v/>
      </c>
      <c r="AB161" s="68">
        <f>IF(OR($B161="",$AA161=""),"",IFERROR($AA161/$K161,""))</f>
        <v/>
      </c>
      <c r="AC161" s="69">
        <f>IF(OR($B161="",$X161=""),"",IFERROR(($X161/$K161)/('Grundeinstellungen'!$C$16*('Grundeinstellungen'!$C$6-'Grundeinstellungen'!$C$7))*3600,""))</f>
        <v/>
      </c>
      <c r="AD161" s="70">
        <f>IF(OR($B161="",$AC161=""),"",$AC161/'Grundeinstellungen'!$C$15*1000)</f>
        <v/>
      </c>
      <c r="AE161" s="71">
        <f>IF(OR($B161="",$AC161=""),"",IFERROR($AC161/3600/'Grundeinstellungen'!$C$15/'Grundeinstellungen'!$J$22,""))</f>
        <v/>
      </c>
      <c r="AF161" s="72">
        <f>IF(OR($B161="",$AE161=""),"",IFERROR($AE161*'Grundeinstellungen'!$J$21/'Grundeinstellungen'!$C$17,""))</f>
        <v/>
      </c>
      <c r="AG161" s="73">
        <f>IF(OR($B161="",$AF161=""),"",IF($AF161&lt;2300,"laminar",IF($AF161&lt;4000,"Übergangsbereich","turbulent")))</f>
        <v/>
      </c>
      <c r="AH161" s="74">
        <f>IF(OR($B161="",$AF161=""),"",IF($AF161&lt;2300,64/$AF161,0.316/$AF161^0.25))</f>
        <v/>
      </c>
      <c r="AI161" s="75">
        <f>IF(OR($B161="",$AH161="",$AB161=""),"",IFERROR($AH161*($AB161/'Grundeinstellungen'!$J$21)*('Grundeinstellungen'!$C$15/2)*$AE161^2,""))</f>
        <v/>
      </c>
      <c r="AJ161" s="76">
        <f>IF(OR($B161="",$AI161="",$AB161=""),"",IFERROR($AI161/$AB161,""))</f>
        <v/>
      </c>
      <c r="AK161" s="75">
        <f>IF(OR($B161="",$AI161=""),"",$AI161*(1+'Grundeinstellungen'!$C$24)+'Grundeinstellungen'!$C$25)</f>
        <v/>
      </c>
    </row>
    <row r="162">
      <c r="A162" s="51" t="n"/>
      <c r="B162" s="51" t="n"/>
      <c r="C162" s="51" t="n"/>
      <c r="D162" s="52" t="n"/>
      <c r="E162" s="53" t="n"/>
      <c r="F162" s="54" t="n"/>
      <c r="G162" s="55">
        <f>IF($B162="","",IFERROR($F162/$D162,""))</f>
        <v/>
      </c>
      <c r="H162" s="52" t="n"/>
      <c r="I162" s="56" t="n"/>
      <c r="J162" s="57" t="n"/>
      <c r="K162" s="58" t="n"/>
      <c r="L162" s="59" t="n"/>
      <c r="M162" s="60" t="n"/>
      <c r="N162" s="61">
        <f>IF($B162="","",IFERROR(('Grundeinstellungen'!$C$6-'Grundeinstellungen'!$C$7)/LN(('Grundeinstellungen'!$C$6-$E162)/('Grundeinstellungen'!$C$7-$E162)),""))</f>
        <v/>
      </c>
      <c r="O162" s="62">
        <f>IF($B162="","",IFERROR(IFERROR(INDEX('Konstanten'!$B$6:$B$10,MATCH($I162,'Konstanten'!$A$6:$A$10,1))+($I162-INDEX('Konstanten'!$A$6:$A$10,MATCH($I162,'Konstanten'!$A$6:$A$10,1)))/(INDEX('Konstanten'!$A$6:$A$10,MATCH($I162,'Konstanten'!$A$6:$A$10,1)+1)-INDEX('Konstanten'!$A$6:$A$10,MATCH($I162,'Konstanten'!$A$6:$A$10,1)))*(INDEX('Konstanten'!$B$6:$B$10,MATCH($I162,'Konstanten'!$A$6:$A$10,1)+1)-INDEX('Konstanten'!$B$6:$B$10,MATCH($I162,'Konstanten'!$A$6:$A$10,1))),INDEX('Konstanten'!$B$6:$B$10,MATCH($I162,'Konstanten'!$A$6:$A$10,1))),""))</f>
        <v/>
      </c>
      <c r="P162" s="62">
        <f>IF($B162="","",IFERROR(IFERROR(INDEX('Konstanten'!$C$6:$C$10,MATCH($I162,'Konstanten'!$A$6:$A$10,1))+($I162-INDEX('Konstanten'!$A$6:$A$10,MATCH($I162,'Konstanten'!$A$6:$A$10,1)))/(INDEX('Konstanten'!$A$6:$A$10,MATCH($I162,'Konstanten'!$A$6:$A$10,1)+1)-INDEX('Konstanten'!$A$6:$A$10,MATCH($I162,'Konstanten'!$A$6:$A$10,1)))*(INDEX('Konstanten'!$C$6:$C$10,MATCH($I162,'Konstanten'!$A$6:$A$10,1)+1)-INDEX('Konstanten'!$C$6:$C$10,MATCH($I162,'Konstanten'!$A$6:$A$10,1))),INDEX('Konstanten'!$C$6:$C$10,MATCH($I162,'Konstanten'!$A$6:$A$10,1))),""))</f>
        <v/>
      </c>
      <c r="Q162" s="63">
        <f>IF(OR($B162="",$N162="",$O162="",$P162=""),"",'Konstanten'!$C$13*$O162*$P162^(1-($J162/1000)/0.075)*'Konstanten'!$C$14^'Konstanten'!$C$16*'Konstanten'!$C$15^'Konstanten'!$C$17*$N162)</f>
        <v/>
      </c>
      <c r="R162" s="64">
        <f>IF(OR($B162="",$Q162=""),"",$E162+$Q162/'Grundeinstellungen'!$J$6)</f>
        <v/>
      </c>
      <c r="S162" s="64">
        <f>IF($B162="","",IFERROR(VLOOKUP($M162,'Konstanten'!$H$6:$I$13,2,FALSE),29))</f>
        <v/>
      </c>
      <c r="T162" s="65">
        <f>IF(OR($B162="",$Q162=""),"",$Q162*$H162)</f>
        <v/>
      </c>
      <c r="U162" s="66">
        <f>IF(OR($B162="",$T162=""),"",$T162-$F162)</f>
        <v/>
      </c>
      <c r="V162" s="67">
        <f>IF(OR($B162="",$T162=""),"",IFERROR($T162/$F162,""))</f>
        <v/>
      </c>
      <c r="W162" s="65">
        <f>IF(OR($B162="",$H162=""),"",'Grundeinstellungen'!$J$13*$H162)</f>
        <v/>
      </c>
      <c r="X162" s="65">
        <f>IF(OR($B162="",$T162=""),"",MIN($T162,$F162)+$W162)</f>
        <v/>
      </c>
      <c r="Y162" s="68">
        <f>IF($B162="","",IFERROR($H162/($J162/1000),""))</f>
        <v/>
      </c>
      <c r="Z162" s="68">
        <f>IF($B162="","",IFERROR(2*$L162*$K162,""))</f>
        <v/>
      </c>
      <c r="AA162" s="68">
        <f>IF(OR($B162="",$Y162="",$Z162=""),"",$Y162+$Z162)</f>
        <v/>
      </c>
      <c r="AB162" s="68">
        <f>IF(OR($B162="",$AA162=""),"",IFERROR($AA162/$K162,""))</f>
        <v/>
      </c>
      <c r="AC162" s="69">
        <f>IF(OR($B162="",$X162=""),"",IFERROR(($X162/$K162)/('Grundeinstellungen'!$C$16*('Grundeinstellungen'!$C$6-'Grundeinstellungen'!$C$7))*3600,""))</f>
        <v/>
      </c>
      <c r="AD162" s="70">
        <f>IF(OR($B162="",$AC162=""),"",$AC162/'Grundeinstellungen'!$C$15*1000)</f>
        <v/>
      </c>
      <c r="AE162" s="71">
        <f>IF(OR($B162="",$AC162=""),"",IFERROR($AC162/3600/'Grundeinstellungen'!$C$15/'Grundeinstellungen'!$J$22,""))</f>
        <v/>
      </c>
      <c r="AF162" s="72">
        <f>IF(OR($B162="",$AE162=""),"",IFERROR($AE162*'Grundeinstellungen'!$J$21/'Grundeinstellungen'!$C$17,""))</f>
        <v/>
      </c>
      <c r="AG162" s="73">
        <f>IF(OR($B162="",$AF162=""),"",IF($AF162&lt;2300,"laminar",IF($AF162&lt;4000,"Übergangsbereich","turbulent")))</f>
        <v/>
      </c>
      <c r="AH162" s="74">
        <f>IF(OR($B162="",$AF162=""),"",IF($AF162&lt;2300,64/$AF162,0.316/$AF162^0.25))</f>
        <v/>
      </c>
      <c r="AI162" s="75">
        <f>IF(OR($B162="",$AH162="",$AB162=""),"",IFERROR($AH162*($AB162/'Grundeinstellungen'!$J$21)*('Grundeinstellungen'!$C$15/2)*$AE162^2,""))</f>
        <v/>
      </c>
      <c r="AJ162" s="76">
        <f>IF(OR($B162="",$AI162="",$AB162=""),"",IFERROR($AI162/$AB162,""))</f>
        <v/>
      </c>
      <c r="AK162" s="75">
        <f>IF(OR($B162="",$AI162=""),"",$AI162*(1+'Grundeinstellungen'!$C$24)+'Grundeinstellungen'!$C$25)</f>
        <v/>
      </c>
    </row>
    <row r="163">
      <c r="A163" s="51" t="n"/>
      <c r="B163" s="51" t="n"/>
      <c r="C163" s="51" t="n"/>
      <c r="D163" s="52" t="n"/>
      <c r="E163" s="53" t="n"/>
      <c r="F163" s="54" t="n"/>
      <c r="G163" s="55">
        <f>IF($B163="","",IFERROR($F163/$D163,""))</f>
        <v/>
      </c>
      <c r="H163" s="52" t="n"/>
      <c r="I163" s="56" t="n"/>
      <c r="J163" s="57" t="n"/>
      <c r="K163" s="58" t="n"/>
      <c r="L163" s="59" t="n"/>
      <c r="M163" s="60" t="n"/>
      <c r="N163" s="61">
        <f>IF($B163="","",IFERROR(('Grundeinstellungen'!$C$6-'Grundeinstellungen'!$C$7)/LN(('Grundeinstellungen'!$C$6-$E163)/('Grundeinstellungen'!$C$7-$E163)),""))</f>
        <v/>
      </c>
      <c r="O163" s="62">
        <f>IF($B163="","",IFERROR(IFERROR(INDEX('Konstanten'!$B$6:$B$10,MATCH($I163,'Konstanten'!$A$6:$A$10,1))+($I163-INDEX('Konstanten'!$A$6:$A$10,MATCH($I163,'Konstanten'!$A$6:$A$10,1)))/(INDEX('Konstanten'!$A$6:$A$10,MATCH($I163,'Konstanten'!$A$6:$A$10,1)+1)-INDEX('Konstanten'!$A$6:$A$10,MATCH($I163,'Konstanten'!$A$6:$A$10,1)))*(INDEX('Konstanten'!$B$6:$B$10,MATCH($I163,'Konstanten'!$A$6:$A$10,1)+1)-INDEX('Konstanten'!$B$6:$B$10,MATCH($I163,'Konstanten'!$A$6:$A$10,1))),INDEX('Konstanten'!$B$6:$B$10,MATCH($I163,'Konstanten'!$A$6:$A$10,1))),""))</f>
        <v/>
      </c>
      <c r="P163" s="62">
        <f>IF($B163="","",IFERROR(IFERROR(INDEX('Konstanten'!$C$6:$C$10,MATCH($I163,'Konstanten'!$A$6:$A$10,1))+($I163-INDEX('Konstanten'!$A$6:$A$10,MATCH($I163,'Konstanten'!$A$6:$A$10,1)))/(INDEX('Konstanten'!$A$6:$A$10,MATCH($I163,'Konstanten'!$A$6:$A$10,1)+1)-INDEX('Konstanten'!$A$6:$A$10,MATCH($I163,'Konstanten'!$A$6:$A$10,1)))*(INDEX('Konstanten'!$C$6:$C$10,MATCH($I163,'Konstanten'!$A$6:$A$10,1)+1)-INDEX('Konstanten'!$C$6:$C$10,MATCH($I163,'Konstanten'!$A$6:$A$10,1))),INDEX('Konstanten'!$C$6:$C$10,MATCH($I163,'Konstanten'!$A$6:$A$10,1))),""))</f>
        <v/>
      </c>
      <c r="Q163" s="63">
        <f>IF(OR($B163="",$N163="",$O163="",$P163=""),"",'Konstanten'!$C$13*$O163*$P163^(1-($J163/1000)/0.075)*'Konstanten'!$C$14^'Konstanten'!$C$16*'Konstanten'!$C$15^'Konstanten'!$C$17*$N163)</f>
        <v/>
      </c>
      <c r="R163" s="64">
        <f>IF(OR($B163="",$Q163=""),"",$E163+$Q163/'Grundeinstellungen'!$J$6)</f>
        <v/>
      </c>
      <c r="S163" s="64">
        <f>IF($B163="","",IFERROR(VLOOKUP($M163,'Konstanten'!$H$6:$I$13,2,FALSE),29))</f>
        <v/>
      </c>
      <c r="T163" s="65">
        <f>IF(OR($B163="",$Q163=""),"",$Q163*$H163)</f>
        <v/>
      </c>
      <c r="U163" s="66">
        <f>IF(OR($B163="",$T163=""),"",$T163-$F163)</f>
        <v/>
      </c>
      <c r="V163" s="67">
        <f>IF(OR($B163="",$T163=""),"",IFERROR($T163/$F163,""))</f>
        <v/>
      </c>
      <c r="W163" s="65">
        <f>IF(OR($B163="",$H163=""),"",'Grundeinstellungen'!$J$13*$H163)</f>
        <v/>
      </c>
      <c r="X163" s="65">
        <f>IF(OR($B163="",$T163=""),"",MIN($T163,$F163)+$W163)</f>
        <v/>
      </c>
      <c r="Y163" s="68">
        <f>IF($B163="","",IFERROR($H163/($J163/1000),""))</f>
        <v/>
      </c>
      <c r="Z163" s="68">
        <f>IF($B163="","",IFERROR(2*$L163*$K163,""))</f>
        <v/>
      </c>
      <c r="AA163" s="68">
        <f>IF(OR($B163="",$Y163="",$Z163=""),"",$Y163+$Z163)</f>
        <v/>
      </c>
      <c r="AB163" s="68">
        <f>IF(OR($B163="",$AA163=""),"",IFERROR($AA163/$K163,""))</f>
        <v/>
      </c>
      <c r="AC163" s="69">
        <f>IF(OR($B163="",$X163=""),"",IFERROR(($X163/$K163)/('Grundeinstellungen'!$C$16*('Grundeinstellungen'!$C$6-'Grundeinstellungen'!$C$7))*3600,""))</f>
        <v/>
      </c>
      <c r="AD163" s="70">
        <f>IF(OR($B163="",$AC163=""),"",$AC163/'Grundeinstellungen'!$C$15*1000)</f>
        <v/>
      </c>
      <c r="AE163" s="71">
        <f>IF(OR($B163="",$AC163=""),"",IFERROR($AC163/3600/'Grundeinstellungen'!$C$15/'Grundeinstellungen'!$J$22,""))</f>
        <v/>
      </c>
      <c r="AF163" s="72">
        <f>IF(OR($B163="",$AE163=""),"",IFERROR($AE163*'Grundeinstellungen'!$J$21/'Grundeinstellungen'!$C$17,""))</f>
        <v/>
      </c>
      <c r="AG163" s="73">
        <f>IF(OR($B163="",$AF163=""),"",IF($AF163&lt;2300,"laminar",IF($AF163&lt;4000,"Übergangsbereich","turbulent")))</f>
        <v/>
      </c>
      <c r="AH163" s="74">
        <f>IF(OR($B163="",$AF163=""),"",IF($AF163&lt;2300,64/$AF163,0.316/$AF163^0.25))</f>
        <v/>
      </c>
      <c r="AI163" s="75">
        <f>IF(OR($B163="",$AH163="",$AB163=""),"",IFERROR($AH163*($AB163/'Grundeinstellungen'!$J$21)*('Grundeinstellungen'!$C$15/2)*$AE163^2,""))</f>
        <v/>
      </c>
      <c r="AJ163" s="76">
        <f>IF(OR($B163="",$AI163="",$AB163=""),"",IFERROR($AI163/$AB163,""))</f>
        <v/>
      </c>
      <c r="AK163" s="75">
        <f>IF(OR($B163="",$AI163=""),"",$AI163*(1+'Grundeinstellungen'!$C$24)+'Grundeinstellungen'!$C$25)</f>
        <v/>
      </c>
    </row>
    <row r="164">
      <c r="A164" s="51" t="n"/>
      <c r="B164" s="51" t="n"/>
      <c r="C164" s="51" t="n"/>
      <c r="D164" s="52" t="n"/>
      <c r="E164" s="53" t="n"/>
      <c r="F164" s="54" t="n"/>
      <c r="G164" s="55">
        <f>IF($B164="","",IFERROR($F164/$D164,""))</f>
        <v/>
      </c>
      <c r="H164" s="52" t="n"/>
      <c r="I164" s="56" t="n"/>
      <c r="J164" s="57" t="n"/>
      <c r="K164" s="58" t="n"/>
      <c r="L164" s="59" t="n"/>
      <c r="M164" s="60" t="n"/>
      <c r="N164" s="61">
        <f>IF($B164="","",IFERROR(('Grundeinstellungen'!$C$6-'Grundeinstellungen'!$C$7)/LN(('Grundeinstellungen'!$C$6-$E164)/('Grundeinstellungen'!$C$7-$E164)),""))</f>
        <v/>
      </c>
      <c r="O164" s="62">
        <f>IF($B164="","",IFERROR(IFERROR(INDEX('Konstanten'!$B$6:$B$10,MATCH($I164,'Konstanten'!$A$6:$A$10,1))+($I164-INDEX('Konstanten'!$A$6:$A$10,MATCH($I164,'Konstanten'!$A$6:$A$10,1)))/(INDEX('Konstanten'!$A$6:$A$10,MATCH($I164,'Konstanten'!$A$6:$A$10,1)+1)-INDEX('Konstanten'!$A$6:$A$10,MATCH($I164,'Konstanten'!$A$6:$A$10,1)))*(INDEX('Konstanten'!$B$6:$B$10,MATCH($I164,'Konstanten'!$A$6:$A$10,1)+1)-INDEX('Konstanten'!$B$6:$B$10,MATCH($I164,'Konstanten'!$A$6:$A$10,1))),INDEX('Konstanten'!$B$6:$B$10,MATCH($I164,'Konstanten'!$A$6:$A$10,1))),""))</f>
        <v/>
      </c>
      <c r="P164" s="62">
        <f>IF($B164="","",IFERROR(IFERROR(INDEX('Konstanten'!$C$6:$C$10,MATCH($I164,'Konstanten'!$A$6:$A$10,1))+($I164-INDEX('Konstanten'!$A$6:$A$10,MATCH($I164,'Konstanten'!$A$6:$A$10,1)))/(INDEX('Konstanten'!$A$6:$A$10,MATCH($I164,'Konstanten'!$A$6:$A$10,1)+1)-INDEX('Konstanten'!$A$6:$A$10,MATCH($I164,'Konstanten'!$A$6:$A$10,1)))*(INDEX('Konstanten'!$C$6:$C$10,MATCH($I164,'Konstanten'!$A$6:$A$10,1)+1)-INDEX('Konstanten'!$C$6:$C$10,MATCH($I164,'Konstanten'!$A$6:$A$10,1))),INDEX('Konstanten'!$C$6:$C$10,MATCH($I164,'Konstanten'!$A$6:$A$10,1))),""))</f>
        <v/>
      </c>
      <c r="Q164" s="63">
        <f>IF(OR($B164="",$N164="",$O164="",$P164=""),"",'Konstanten'!$C$13*$O164*$P164^(1-($J164/1000)/0.075)*'Konstanten'!$C$14^'Konstanten'!$C$16*'Konstanten'!$C$15^'Konstanten'!$C$17*$N164)</f>
        <v/>
      </c>
      <c r="R164" s="64">
        <f>IF(OR($B164="",$Q164=""),"",$E164+$Q164/'Grundeinstellungen'!$J$6)</f>
        <v/>
      </c>
      <c r="S164" s="64">
        <f>IF($B164="","",IFERROR(VLOOKUP($M164,'Konstanten'!$H$6:$I$13,2,FALSE),29))</f>
        <v/>
      </c>
      <c r="T164" s="65">
        <f>IF(OR($B164="",$Q164=""),"",$Q164*$H164)</f>
        <v/>
      </c>
      <c r="U164" s="66">
        <f>IF(OR($B164="",$T164=""),"",$T164-$F164)</f>
        <v/>
      </c>
      <c r="V164" s="67">
        <f>IF(OR($B164="",$T164=""),"",IFERROR($T164/$F164,""))</f>
        <v/>
      </c>
      <c r="W164" s="65">
        <f>IF(OR($B164="",$H164=""),"",'Grundeinstellungen'!$J$13*$H164)</f>
        <v/>
      </c>
      <c r="X164" s="65">
        <f>IF(OR($B164="",$T164=""),"",MIN($T164,$F164)+$W164)</f>
        <v/>
      </c>
      <c r="Y164" s="68">
        <f>IF($B164="","",IFERROR($H164/($J164/1000),""))</f>
        <v/>
      </c>
      <c r="Z164" s="68">
        <f>IF($B164="","",IFERROR(2*$L164*$K164,""))</f>
        <v/>
      </c>
      <c r="AA164" s="68">
        <f>IF(OR($B164="",$Y164="",$Z164=""),"",$Y164+$Z164)</f>
        <v/>
      </c>
      <c r="AB164" s="68">
        <f>IF(OR($B164="",$AA164=""),"",IFERROR($AA164/$K164,""))</f>
        <v/>
      </c>
      <c r="AC164" s="69">
        <f>IF(OR($B164="",$X164=""),"",IFERROR(($X164/$K164)/('Grundeinstellungen'!$C$16*('Grundeinstellungen'!$C$6-'Grundeinstellungen'!$C$7))*3600,""))</f>
        <v/>
      </c>
      <c r="AD164" s="70">
        <f>IF(OR($B164="",$AC164=""),"",$AC164/'Grundeinstellungen'!$C$15*1000)</f>
        <v/>
      </c>
      <c r="AE164" s="71">
        <f>IF(OR($B164="",$AC164=""),"",IFERROR($AC164/3600/'Grundeinstellungen'!$C$15/'Grundeinstellungen'!$J$22,""))</f>
        <v/>
      </c>
      <c r="AF164" s="72">
        <f>IF(OR($B164="",$AE164=""),"",IFERROR($AE164*'Grundeinstellungen'!$J$21/'Grundeinstellungen'!$C$17,""))</f>
        <v/>
      </c>
      <c r="AG164" s="73">
        <f>IF(OR($B164="",$AF164=""),"",IF($AF164&lt;2300,"laminar",IF($AF164&lt;4000,"Übergangsbereich","turbulent")))</f>
        <v/>
      </c>
      <c r="AH164" s="74">
        <f>IF(OR($B164="",$AF164=""),"",IF($AF164&lt;2300,64/$AF164,0.316/$AF164^0.25))</f>
        <v/>
      </c>
      <c r="AI164" s="75">
        <f>IF(OR($B164="",$AH164="",$AB164=""),"",IFERROR($AH164*($AB164/'Grundeinstellungen'!$J$21)*('Grundeinstellungen'!$C$15/2)*$AE164^2,""))</f>
        <v/>
      </c>
      <c r="AJ164" s="76">
        <f>IF(OR($B164="",$AI164="",$AB164=""),"",IFERROR($AI164/$AB164,""))</f>
        <v/>
      </c>
      <c r="AK164" s="75">
        <f>IF(OR($B164="",$AI164=""),"",$AI164*(1+'Grundeinstellungen'!$C$24)+'Grundeinstellungen'!$C$25)</f>
        <v/>
      </c>
    </row>
    <row r="165">
      <c r="A165" s="51" t="n"/>
      <c r="B165" s="51" t="n"/>
      <c r="C165" s="51" t="n"/>
      <c r="D165" s="52" t="n"/>
      <c r="E165" s="53" t="n"/>
      <c r="F165" s="54" t="n"/>
      <c r="G165" s="55">
        <f>IF($B165="","",IFERROR($F165/$D165,""))</f>
        <v/>
      </c>
      <c r="H165" s="52" t="n"/>
      <c r="I165" s="56" t="n"/>
      <c r="J165" s="57" t="n"/>
      <c r="K165" s="58" t="n"/>
      <c r="L165" s="59" t="n"/>
      <c r="M165" s="60" t="n"/>
      <c r="N165" s="61">
        <f>IF($B165="","",IFERROR(('Grundeinstellungen'!$C$6-'Grundeinstellungen'!$C$7)/LN(('Grundeinstellungen'!$C$6-$E165)/('Grundeinstellungen'!$C$7-$E165)),""))</f>
        <v/>
      </c>
      <c r="O165" s="62">
        <f>IF($B165="","",IFERROR(IFERROR(INDEX('Konstanten'!$B$6:$B$10,MATCH($I165,'Konstanten'!$A$6:$A$10,1))+($I165-INDEX('Konstanten'!$A$6:$A$10,MATCH($I165,'Konstanten'!$A$6:$A$10,1)))/(INDEX('Konstanten'!$A$6:$A$10,MATCH($I165,'Konstanten'!$A$6:$A$10,1)+1)-INDEX('Konstanten'!$A$6:$A$10,MATCH($I165,'Konstanten'!$A$6:$A$10,1)))*(INDEX('Konstanten'!$B$6:$B$10,MATCH($I165,'Konstanten'!$A$6:$A$10,1)+1)-INDEX('Konstanten'!$B$6:$B$10,MATCH($I165,'Konstanten'!$A$6:$A$10,1))),INDEX('Konstanten'!$B$6:$B$10,MATCH($I165,'Konstanten'!$A$6:$A$10,1))),""))</f>
        <v/>
      </c>
      <c r="P165" s="62">
        <f>IF($B165="","",IFERROR(IFERROR(INDEX('Konstanten'!$C$6:$C$10,MATCH($I165,'Konstanten'!$A$6:$A$10,1))+($I165-INDEX('Konstanten'!$A$6:$A$10,MATCH($I165,'Konstanten'!$A$6:$A$10,1)))/(INDEX('Konstanten'!$A$6:$A$10,MATCH($I165,'Konstanten'!$A$6:$A$10,1)+1)-INDEX('Konstanten'!$A$6:$A$10,MATCH($I165,'Konstanten'!$A$6:$A$10,1)))*(INDEX('Konstanten'!$C$6:$C$10,MATCH($I165,'Konstanten'!$A$6:$A$10,1)+1)-INDEX('Konstanten'!$C$6:$C$10,MATCH($I165,'Konstanten'!$A$6:$A$10,1))),INDEX('Konstanten'!$C$6:$C$10,MATCH($I165,'Konstanten'!$A$6:$A$10,1))),""))</f>
        <v/>
      </c>
      <c r="Q165" s="63">
        <f>IF(OR($B165="",$N165="",$O165="",$P165=""),"",'Konstanten'!$C$13*$O165*$P165^(1-($J165/1000)/0.075)*'Konstanten'!$C$14^'Konstanten'!$C$16*'Konstanten'!$C$15^'Konstanten'!$C$17*$N165)</f>
        <v/>
      </c>
      <c r="R165" s="64">
        <f>IF(OR($B165="",$Q165=""),"",$E165+$Q165/'Grundeinstellungen'!$J$6)</f>
        <v/>
      </c>
      <c r="S165" s="64">
        <f>IF($B165="","",IFERROR(VLOOKUP($M165,'Konstanten'!$H$6:$I$13,2,FALSE),29))</f>
        <v/>
      </c>
      <c r="T165" s="65">
        <f>IF(OR($B165="",$Q165=""),"",$Q165*$H165)</f>
        <v/>
      </c>
      <c r="U165" s="66">
        <f>IF(OR($B165="",$T165=""),"",$T165-$F165)</f>
        <v/>
      </c>
      <c r="V165" s="67">
        <f>IF(OR($B165="",$T165=""),"",IFERROR($T165/$F165,""))</f>
        <v/>
      </c>
      <c r="W165" s="65">
        <f>IF(OR($B165="",$H165=""),"",'Grundeinstellungen'!$J$13*$H165)</f>
        <v/>
      </c>
      <c r="X165" s="65">
        <f>IF(OR($B165="",$T165=""),"",MIN($T165,$F165)+$W165)</f>
        <v/>
      </c>
      <c r="Y165" s="68">
        <f>IF($B165="","",IFERROR($H165/($J165/1000),""))</f>
        <v/>
      </c>
      <c r="Z165" s="68">
        <f>IF($B165="","",IFERROR(2*$L165*$K165,""))</f>
        <v/>
      </c>
      <c r="AA165" s="68">
        <f>IF(OR($B165="",$Y165="",$Z165=""),"",$Y165+$Z165)</f>
        <v/>
      </c>
      <c r="AB165" s="68">
        <f>IF(OR($B165="",$AA165=""),"",IFERROR($AA165/$K165,""))</f>
        <v/>
      </c>
      <c r="AC165" s="69">
        <f>IF(OR($B165="",$X165=""),"",IFERROR(($X165/$K165)/('Grundeinstellungen'!$C$16*('Grundeinstellungen'!$C$6-'Grundeinstellungen'!$C$7))*3600,""))</f>
        <v/>
      </c>
      <c r="AD165" s="70">
        <f>IF(OR($B165="",$AC165=""),"",$AC165/'Grundeinstellungen'!$C$15*1000)</f>
        <v/>
      </c>
      <c r="AE165" s="71">
        <f>IF(OR($B165="",$AC165=""),"",IFERROR($AC165/3600/'Grundeinstellungen'!$C$15/'Grundeinstellungen'!$J$22,""))</f>
        <v/>
      </c>
      <c r="AF165" s="72">
        <f>IF(OR($B165="",$AE165=""),"",IFERROR($AE165*'Grundeinstellungen'!$J$21/'Grundeinstellungen'!$C$17,""))</f>
        <v/>
      </c>
      <c r="AG165" s="73">
        <f>IF(OR($B165="",$AF165=""),"",IF($AF165&lt;2300,"laminar",IF($AF165&lt;4000,"Übergangsbereich","turbulent")))</f>
        <v/>
      </c>
      <c r="AH165" s="74">
        <f>IF(OR($B165="",$AF165=""),"",IF($AF165&lt;2300,64/$AF165,0.316/$AF165^0.25))</f>
        <v/>
      </c>
      <c r="AI165" s="75">
        <f>IF(OR($B165="",$AH165="",$AB165=""),"",IFERROR($AH165*($AB165/'Grundeinstellungen'!$J$21)*('Grundeinstellungen'!$C$15/2)*$AE165^2,""))</f>
        <v/>
      </c>
      <c r="AJ165" s="76">
        <f>IF(OR($B165="",$AI165="",$AB165=""),"",IFERROR($AI165/$AB165,""))</f>
        <v/>
      </c>
      <c r="AK165" s="75">
        <f>IF(OR($B165="",$AI165=""),"",$AI165*(1+'Grundeinstellungen'!$C$24)+'Grundeinstellungen'!$C$25)</f>
        <v/>
      </c>
    </row>
    <row r="166">
      <c r="A166" s="51" t="n"/>
      <c r="B166" s="51" t="n"/>
      <c r="C166" s="51" t="n"/>
      <c r="D166" s="52" t="n"/>
      <c r="E166" s="53" t="n"/>
      <c r="F166" s="54" t="n"/>
      <c r="G166" s="55">
        <f>IF($B166="","",IFERROR($F166/$D166,""))</f>
        <v/>
      </c>
      <c r="H166" s="52" t="n"/>
      <c r="I166" s="56" t="n"/>
      <c r="J166" s="57" t="n"/>
      <c r="K166" s="58" t="n"/>
      <c r="L166" s="59" t="n"/>
      <c r="M166" s="60" t="n"/>
      <c r="N166" s="61">
        <f>IF($B166="","",IFERROR(('Grundeinstellungen'!$C$6-'Grundeinstellungen'!$C$7)/LN(('Grundeinstellungen'!$C$6-$E166)/('Grundeinstellungen'!$C$7-$E166)),""))</f>
        <v/>
      </c>
      <c r="O166" s="62">
        <f>IF($B166="","",IFERROR(IFERROR(INDEX('Konstanten'!$B$6:$B$10,MATCH($I166,'Konstanten'!$A$6:$A$10,1))+($I166-INDEX('Konstanten'!$A$6:$A$10,MATCH($I166,'Konstanten'!$A$6:$A$10,1)))/(INDEX('Konstanten'!$A$6:$A$10,MATCH($I166,'Konstanten'!$A$6:$A$10,1)+1)-INDEX('Konstanten'!$A$6:$A$10,MATCH($I166,'Konstanten'!$A$6:$A$10,1)))*(INDEX('Konstanten'!$B$6:$B$10,MATCH($I166,'Konstanten'!$A$6:$A$10,1)+1)-INDEX('Konstanten'!$B$6:$B$10,MATCH($I166,'Konstanten'!$A$6:$A$10,1))),INDEX('Konstanten'!$B$6:$B$10,MATCH($I166,'Konstanten'!$A$6:$A$10,1))),""))</f>
        <v/>
      </c>
      <c r="P166" s="62">
        <f>IF($B166="","",IFERROR(IFERROR(INDEX('Konstanten'!$C$6:$C$10,MATCH($I166,'Konstanten'!$A$6:$A$10,1))+($I166-INDEX('Konstanten'!$A$6:$A$10,MATCH($I166,'Konstanten'!$A$6:$A$10,1)))/(INDEX('Konstanten'!$A$6:$A$10,MATCH($I166,'Konstanten'!$A$6:$A$10,1)+1)-INDEX('Konstanten'!$A$6:$A$10,MATCH($I166,'Konstanten'!$A$6:$A$10,1)))*(INDEX('Konstanten'!$C$6:$C$10,MATCH($I166,'Konstanten'!$A$6:$A$10,1)+1)-INDEX('Konstanten'!$C$6:$C$10,MATCH($I166,'Konstanten'!$A$6:$A$10,1))),INDEX('Konstanten'!$C$6:$C$10,MATCH($I166,'Konstanten'!$A$6:$A$10,1))),""))</f>
        <v/>
      </c>
      <c r="Q166" s="63">
        <f>IF(OR($B166="",$N166="",$O166="",$P166=""),"",'Konstanten'!$C$13*$O166*$P166^(1-($J166/1000)/0.075)*'Konstanten'!$C$14^'Konstanten'!$C$16*'Konstanten'!$C$15^'Konstanten'!$C$17*$N166)</f>
        <v/>
      </c>
      <c r="R166" s="64">
        <f>IF(OR($B166="",$Q166=""),"",$E166+$Q166/'Grundeinstellungen'!$J$6)</f>
        <v/>
      </c>
      <c r="S166" s="64">
        <f>IF($B166="","",IFERROR(VLOOKUP($M166,'Konstanten'!$H$6:$I$13,2,FALSE),29))</f>
        <v/>
      </c>
      <c r="T166" s="65">
        <f>IF(OR($B166="",$Q166=""),"",$Q166*$H166)</f>
        <v/>
      </c>
      <c r="U166" s="66">
        <f>IF(OR($B166="",$T166=""),"",$T166-$F166)</f>
        <v/>
      </c>
      <c r="V166" s="67">
        <f>IF(OR($B166="",$T166=""),"",IFERROR($T166/$F166,""))</f>
        <v/>
      </c>
      <c r="W166" s="65">
        <f>IF(OR($B166="",$H166=""),"",'Grundeinstellungen'!$J$13*$H166)</f>
        <v/>
      </c>
      <c r="X166" s="65">
        <f>IF(OR($B166="",$T166=""),"",MIN($T166,$F166)+$W166)</f>
        <v/>
      </c>
      <c r="Y166" s="68">
        <f>IF($B166="","",IFERROR($H166/($J166/1000),""))</f>
        <v/>
      </c>
      <c r="Z166" s="68">
        <f>IF($B166="","",IFERROR(2*$L166*$K166,""))</f>
        <v/>
      </c>
      <c r="AA166" s="68">
        <f>IF(OR($B166="",$Y166="",$Z166=""),"",$Y166+$Z166)</f>
        <v/>
      </c>
      <c r="AB166" s="68">
        <f>IF(OR($B166="",$AA166=""),"",IFERROR($AA166/$K166,""))</f>
        <v/>
      </c>
      <c r="AC166" s="69">
        <f>IF(OR($B166="",$X166=""),"",IFERROR(($X166/$K166)/('Grundeinstellungen'!$C$16*('Grundeinstellungen'!$C$6-'Grundeinstellungen'!$C$7))*3600,""))</f>
        <v/>
      </c>
      <c r="AD166" s="70">
        <f>IF(OR($B166="",$AC166=""),"",$AC166/'Grundeinstellungen'!$C$15*1000)</f>
        <v/>
      </c>
      <c r="AE166" s="71">
        <f>IF(OR($B166="",$AC166=""),"",IFERROR($AC166/3600/'Grundeinstellungen'!$C$15/'Grundeinstellungen'!$J$22,""))</f>
        <v/>
      </c>
      <c r="AF166" s="72">
        <f>IF(OR($B166="",$AE166=""),"",IFERROR($AE166*'Grundeinstellungen'!$J$21/'Grundeinstellungen'!$C$17,""))</f>
        <v/>
      </c>
      <c r="AG166" s="73">
        <f>IF(OR($B166="",$AF166=""),"",IF($AF166&lt;2300,"laminar",IF($AF166&lt;4000,"Übergangsbereich","turbulent")))</f>
        <v/>
      </c>
      <c r="AH166" s="74">
        <f>IF(OR($B166="",$AF166=""),"",IF($AF166&lt;2300,64/$AF166,0.316/$AF166^0.25))</f>
        <v/>
      </c>
      <c r="AI166" s="75">
        <f>IF(OR($B166="",$AH166="",$AB166=""),"",IFERROR($AH166*($AB166/'Grundeinstellungen'!$J$21)*('Grundeinstellungen'!$C$15/2)*$AE166^2,""))</f>
        <v/>
      </c>
      <c r="AJ166" s="76">
        <f>IF(OR($B166="",$AI166="",$AB166=""),"",IFERROR($AI166/$AB166,""))</f>
        <v/>
      </c>
      <c r="AK166" s="75">
        <f>IF(OR($B166="",$AI166=""),"",$AI166*(1+'Grundeinstellungen'!$C$24)+'Grundeinstellungen'!$C$25)</f>
        <v/>
      </c>
    </row>
    <row r="167">
      <c r="A167" s="51" t="n"/>
      <c r="B167" s="51" t="n"/>
      <c r="C167" s="51" t="n"/>
      <c r="D167" s="52" t="n"/>
      <c r="E167" s="53" t="n"/>
      <c r="F167" s="54" t="n"/>
      <c r="G167" s="55">
        <f>IF($B167="","",IFERROR($F167/$D167,""))</f>
        <v/>
      </c>
      <c r="H167" s="52" t="n"/>
      <c r="I167" s="56" t="n"/>
      <c r="J167" s="57" t="n"/>
      <c r="K167" s="58" t="n"/>
      <c r="L167" s="59" t="n"/>
      <c r="M167" s="60" t="n"/>
      <c r="N167" s="61">
        <f>IF($B167="","",IFERROR(('Grundeinstellungen'!$C$6-'Grundeinstellungen'!$C$7)/LN(('Grundeinstellungen'!$C$6-$E167)/('Grundeinstellungen'!$C$7-$E167)),""))</f>
        <v/>
      </c>
      <c r="O167" s="62">
        <f>IF($B167="","",IFERROR(IFERROR(INDEX('Konstanten'!$B$6:$B$10,MATCH($I167,'Konstanten'!$A$6:$A$10,1))+($I167-INDEX('Konstanten'!$A$6:$A$10,MATCH($I167,'Konstanten'!$A$6:$A$10,1)))/(INDEX('Konstanten'!$A$6:$A$10,MATCH($I167,'Konstanten'!$A$6:$A$10,1)+1)-INDEX('Konstanten'!$A$6:$A$10,MATCH($I167,'Konstanten'!$A$6:$A$10,1)))*(INDEX('Konstanten'!$B$6:$B$10,MATCH($I167,'Konstanten'!$A$6:$A$10,1)+1)-INDEX('Konstanten'!$B$6:$B$10,MATCH($I167,'Konstanten'!$A$6:$A$10,1))),INDEX('Konstanten'!$B$6:$B$10,MATCH($I167,'Konstanten'!$A$6:$A$10,1))),""))</f>
        <v/>
      </c>
      <c r="P167" s="62">
        <f>IF($B167="","",IFERROR(IFERROR(INDEX('Konstanten'!$C$6:$C$10,MATCH($I167,'Konstanten'!$A$6:$A$10,1))+($I167-INDEX('Konstanten'!$A$6:$A$10,MATCH($I167,'Konstanten'!$A$6:$A$10,1)))/(INDEX('Konstanten'!$A$6:$A$10,MATCH($I167,'Konstanten'!$A$6:$A$10,1)+1)-INDEX('Konstanten'!$A$6:$A$10,MATCH($I167,'Konstanten'!$A$6:$A$10,1)))*(INDEX('Konstanten'!$C$6:$C$10,MATCH($I167,'Konstanten'!$A$6:$A$10,1)+1)-INDEX('Konstanten'!$C$6:$C$10,MATCH($I167,'Konstanten'!$A$6:$A$10,1))),INDEX('Konstanten'!$C$6:$C$10,MATCH($I167,'Konstanten'!$A$6:$A$10,1))),""))</f>
        <v/>
      </c>
      <c r="Q167" s="63">
        <f>IF(OR($B167="",$N167="",$O167="",$P167=""),"",'Konstanten'!$C$13*$O167*$P167^(1-($J167/1000)/0.075)*'Konstanten'!$C$14^'Konstanten'!$C$16*'Konstanten'!$C$15^'Konstanten'!$C$17*$N167)</f>
        <v/>
      </c>
      <c r="R167" s="64">
        <f>IF(OR($B167="",$Q167=""),"",$E167+$Q167/'Grundeinstellungen'!$J$6)</f>
        <v/>
      </c>
      <c r="S167" s="64">
        <f>IF($B167="","",IFERROR(VLOOKUP($M167,'Konstanten'!$H$6:$I$13,2,FALSE),29))</f>
        <v/>
      </c>
      <c r="T167" s="65">
        <f>IF(OR($B167="",$Q167=""),"",$Q167*$H167)</f>
        <v/>
      </c>
      <c r="U167" s="66">
        <f>IF(OR($B167="",$T167=""),"",$T167-$F167)</f>
        <v/>
      </c>
      <c r="V167" s="67">
        <f>IF(OR($B167="",$T167=""),"",IFERROR($T167/$F167,""))</f>
        <v/>
      </c>
      <c r="W167" s="65">
        <f>IF(OR($B167="",$H167=""),"",'Grundeinstellungen'!$J$13*$H167)</f>
        <v/>
      </c>
      <c r="X167" s="65">
        <f>IF(OR($B167="",$T167=""),"",MIN($T167,$F167)+$W167)</f>
        <v/>
      </c>
      <c r="Y167" s="68">
        <f>IF($B167="","",IFERROR($H167/($J167/1000),""))</f>
        <v/>
      </c>
      <c r="Z167" s="68">
        <f>IF($B167="","",IFERROR(2*$L167*$K167,""))</f>
        <v/>
      </c>
      <c r="AA167" s="68">
        <f>IF(OR($B167="",$Y167="",$Z167=""),"",$Y167+$Z167)</f>
        <v/>
      </c>
      <c r="AB167" s="68">
        <f>IF(OR($B167="",$AA167=""),"",IFERROR($AA167/$K167,""))</f>
        <v/>
      </c>
      <c r="AC167" s="69">
        <f>IF(OR($B167="",$X167=""),"",IFERROR(($X167/$K167)/('Grundeinstellungen'!$C$16*('Grundeinstellungen'!$C$6-'Grundeinstellungen'!$C$7))*3600,""))</f>
        <v/>
      </c>
      <c r="AD167" s="70">
        <f>IF(OR($B167="",$AC167=""),"",$AC167/'Grundeinstellungen'!$C$15*1000)</f>
        <v/>
      </c>
      <c r="AE167" s="71">
        <f>IF(OR($B167="",$AC167=""),"",IFERROR($AC167/3600/'Grundeinstellungen'!$C$15/'Grundeinstellungen'!$J$22,""))</f>
        <v/>
      </c>
      <c r="AF167" s="72">
        <f>IF(OR($B167="",$AE167=""),"",IFERROR($AE167*'Grundeinstellungen'!$J$21/'Grundeinstellungen'!$C$17,""))</f>
        <v/>
      </c>
      <c r="AG167" s="73">
        <f>IF(OR($B167="",$AF167=""),"",IF($AF167&lt;2300,"laminar",IF($AF167&lt;4000,"Übergangsbereich","turbulent")))</f>
        <v/>
      </c>
      <c r="AH167" s="74">
        <f>IF(OR($B167="",$AF167=""),"",IF($AF167&lt;2300,64/$AF167,0.316/$AF167^0.25))</f>
        <v/>
      </c>
      <c r="AI167" s="75">
        <f>IF(OR($B167="",$AH167="",$AB167=""),"",IFERROR($AH167*($AB167/'Grundeinstellungen'!$J$21)*('Grundeinstellungen'!$C$15/2)*$AE167^2,""))</f>
        <v/>
      </c>
      <c r="AJ167" s="76">
        <f>IF(OR($B167="",$AI167="",$AB167=""),"",IFERROR($AI167/$AB167,""))</f>
        <v/>
      </c>
      <c r="AK167" s="75">
        <f>IF(OR($B167="",$AI167=""),"",$AI167*(1+'Grundeinstellungen'!$C$24)+'Grundeinstellungen'!$C$25)</f>
        <v/>
      </c>
    </row>
    <row r="168">
      <c r="A168" s="51" t="n"/>
      <c r="B168" s="51" t="n"/>
      <c r="C168" s="51" t="n"/>
      <c r="D168" s="52" t="n"/>
      <c r="E168" s="53" t="n"/>
      <c r="F168" s="54" t="n"/>
      <c r="G168" s="55">
        <f>IF($B168="","",IFERROR($F168/$D168,""))</f>
        <v/>
      </c>
      <c r="H168" s="52" t="n"/>
      <c r="I168" s="56" t="n"/>
      <c r="J168" s="57" t="n"/>
      <c r="K168" s="58" t="n"/>
      <c r="L168" s="59" t="n"/>
      <c r="M168" s="60" t="n"/>
      <c r="N168" s="61">
        <f>IF($B168="","",IFERROR(('Grundeinstellungen'!$C$6-'Grundeinstellungen'!$C$7)/LN(('Grundeinstellungen'!$C$6-$E168)/('Grundeinstellungen'!$C$7-$E168)),""))</f>
        <v/>
      </c>
      <c r="O168" s="62">
        <f>IF($B168="","",IFERROR(IFERROR(INDEX('Konstanten'!$B$6:$B$10,MATCH($I168,'Konstanten'!$A$6:$A$10,1))+($I168-INDEX('Konstanten'!$A$6:$A$10,MATCH($I168,'Konstanten'!$A$6:$A$10,1)))/(INDEX('Konstanten'!$A$6:$A$10,MATCH($I168,'Konstanten'!$A$6:$A$10,1)+1)-INDEX('Konstanten'!$A$6:$A$10,MATCH($I168,'Konstanten'!$A$6:$A$10,1)))*(INDEX('Konstanten'!$B$6:$B$10,MATCH($I168,'Konstanten'!$A$6:$A$10,1)+1)-INDEX('Konstanten'!$B$6:$B$10,MATCH($I168,'Konstanten'!$A$6:$A$10,1))),INDEX('Konstanten'!$B$6:$B$10,MATCH($I168,'Konstanten'!$A$6:$A$10,1))),""))</f>
        <v/>
      </c>
      <c r="P168" s="62">
        <f>IF($B168="","",IFERROR(IFERROR(INDEX('Konstanten'!$C$6:$C$10,MATCH($I168,'Konstanten'!$A$6:$A$10,1))+($I168-INDEX('Konstanten'!$A$6:$A$10,MATCH($I168,'Konstanten'!$A$6:$A$10,1)))/(INDEX('Konstanten'!$A$6:$A$10,MATCH($I168,'Konstanten'!$A$6:$A$10,1)+1)-INDEX('Konstanten'!$A$6:$A$10,MATCH($I168,'Konstanten'!$A$6:$A$10,1)))*(INDEX('Konstanten'!$C$6:$C$10,MATCH($I168,'Konstanten'!$A$6:$A$10,1)+1)-INDEX('Konstanten'!$C$6:$C$10,MATCH($I168,'Konstanten'!$A$6:$A$10,1))),INDEX('Konstanten'!$C$6:$C$10,MATCH($I168,'Konstanten'!$A$6:$A$10,1))),""))</f>
        <v/>
      </c>
      <c r="Q168" s="63">
        <f>IF(OR($B168="",$N168="",$O168="",$P168=""),"",'Konstanten'!$C$13*$O168*$P168^(1-($J168/1000)/0.075)*'Konstanten'!$C$14^'Konstanten'!$C$16*'Konstanten'!$C$15^'Konstanten'!$C$17*$N168)</f>
        <v/>
      </c>
      <c r="R168" s="64">
        <f>IF(OR($B168="",$Q168=""),"",$E168+$Q168/'Grundeinstellungen'!$J$6)</f>
        <v/>
      </c>
      <c r="S168" s="64">
        <f>IF($B168="","",IFERROR(VLOOKUP($M168,'Konstanten'!$H$6:$I$13,2,FALSE),29))</f>
        <v/>
      </c>
      <c r="T168" s="65">
        <f>IF(OR($B168="",$Q168=""),"",$Q168*$H168)</f>
        <v/>
      </c>
      <c r="U168" s="66">
        <f>IF(OR($B168="",$T168=""),"",$T168-$F168)</f>
        <v/>
      </c>
      <c r="V168" s="67">
        <f>IF(OR($B168="",$T168=""),"",IFERROR($T168/$F168,""))</f>
        <v/>
      </c>
      <c r="W168" s="65">
        <f>IF(OR($B168="",$H168=""),"",'Grundeinstellungen'!$J$13*$H168)</f>
        <v/>
      </c>
      <c r="X168" s="65">
        <f>IF(OR($B168="",$T168=""),"",MIN($T168,$F168)+$W168)</f>
        <v/>
      </c>
      <c r="Y168" s="68">
        <f>IF($B168="","",IFERROR($H168/($J168/1000),""))</f>
        <v/>
      </c>
      <c r="Z168" s="68">
        <f>IF($B168="","",IFERROR(2*$L168*$K168,""))</f>
        <v/>
      </c>
      <c r="AA168" s="68">
        <f>IF(OR($B168="",$Y168="",$Z168=""),"",$Y168+$Z168)</f>
        <v/>
      </c>
      <c r="AB168" s="68">
        <f>IF(OR($B168="",$AA168=""),"",IFERROR($AA168/$K168,""))</f>
        <v/>
      </c>
      <c r="AC168" s="69">
        <f>IF(OR($B168="",$X168=""),"",IFERROR(($X168/$K168)/('Grundeinstellungen'!$C$16*('Grundeinstellungen'!$C$6-'Grundeinstellungen'!$C$7))*3600,""))</f>
        <v/>
      </c>
      <c r="AD168" s="70">
        <f>IF(OR($B168="",$AC168=""),"",$AC168/'Grundeinstellungen'!$C$15*1000)</f>
        <v/>
      </c>
      <c r="AE168" s="71">
        <f>IF(OR($B168="",$AC168=""),"",IFERROR($AC168/3600/'Grundeinstellungen'!$C$15/'Grundeinstellungen'!$J$22,""))</f>
        <v/>
      </c>
      <c r="AF168" s="72">
        <f>IF(OR($B168="",$AE168=""),"",IFERROR($AE168*'Grundeinstellungen'!$J$21/'Grundeinstellungen'!$C$17,""))</f>
        <v/>
      </c>
      <c r="AG168" s="73">
        <f>IF(OR($B168="",$AF168=""),"",IF($AF168&lt;2300,"laminar",IF($AF168&lt;4000,"Übergangsbereich","turbulent")))</f>
        <v/>
      </c>
      <c r="AH168" s="74">
        <f>IF(OR($B168="",$AF168=""),"",IF($AF168&lt;2300,64/$AF168,0.316/$AF168^0.25))</f>
        <v/>
      </c>
      <c r="AI168" s="75">
        <f>IF(OR($B168="",$AH168="",$AB168=""),"",IFERROR($AH168*($AB168/'Grundeinstellungen'!$J$21)*('Grundeinstellungen'!$C$15/2)*$AE168^2,""))</f>
        <v/>
      </c>
      <c r="AJ168" s="76">
        <f>IF(OR($B168="",$AI168="",$AB168=""),"",IFERROR($AI168/$AB168,""))</f>
        <v/>
      </c>
      <c r="AK168" s="75">
        <f>IF(OR($B168="",$AI168=""),"",$AI168*(1+'Grundeinstellungen'!$C$24)+'Grundeinstellungen'!$C$25)</f>
        <v/>
      </c>
    </row>
    <row r="169">
      <c r="A169" s="51" t="n"/>
      <c r="B169" s="51" t="n"/>
      <c r="C169" s="51" t="n"/>
      <c r="D169" s="52" t="n"/>
      <c r="E169" s="53" t="n"/>
      <c r="F169" s="54" t="n"/>
      <c r="G169" s="55">
        <f>IF($B169="","",IFERROR($F169/$D169,""))</f>
        <v/>
      </c>
      <c r="H169" s="52" t="n"/>
      <c r="I169" s="56" t="n"/>
      <c r="J169" s="57" t="n"/>
      <c r="K169" s="58" t="n"/>
      <c r="L169" s="59" t="n"/>
      <c r="M169" s="60" t="n"/>
      <c r="N169" s="61">
        <f>IF($B169="","",IFERROR(('Grundeinstellungen'!$C$6-'Grundeinstellungen'!$C$7)/LN(('Grundeinstellungen'!$C$6-$E169)/('Grundeinstellungen'!$C$7-$E169)),""))</f>
        <v/>
      </c>
      <c r="O169" s="62">
        <f>IF($B169="","",IFERROR(IFERROR(INDEX('Konstanten'!$B$6:$B$10,MATCH($I169,'Konstanten'!$A$6:$A$10,1))+($I169-INDEX('Konstanten'!$A$6:$A$10,MATCH($I169,'Konstanten'!$A$6:$A$10,1)))/(INDEX('Konstanten'!$A$6:$A$10,MATCH($I169,'Konstanten'!$A$6:$A$10,1)+1)-INDEX('Konstanten'!$A$6:$A$10,MATCH($I169,'Konstanten'!$A$6:$A$10,1)))*(INDEX('Konstanten'!$B$6:$B$10,MATCH($I169,'Konstanten'!$A$6:$A$10,1)+1)-INDEX('Konstanten'!$B$6:$B$10,MATCH($I169,'Konstanten'!$A$6:$A$10,1))),INDEX('Konstanten'!$B$6:$B$10,MATCH($I169,'Konstanten'!$A$6:$A$10,1))),""))</f>
        <v/>
      </c>
      <c r="P169" s="62">
        <f>IF($B169="","",IFERROR(IFERROR(INDEX('Konstanten'!$C$6:$C$10,MATCH($I169,'Konstanten'!$A$6:$A$10,1))+($I169-INDEX('Konstanten'!$A$6:$A$10,MATCH($I169,'Konstanten'!$A$6:$A$10,1)))/(INDEX('Konstanten'!$A$6:$A$10,MATCH($I169,'Konstanten'!$A$6:$A$10,1)+1)-INDEX('Konstanten'!$A$6:$A$10,MATCH($I169,'Konstanten'!$A$6:$A$10,1)))*(INDEX('Konstanten'!$C$6:$C$10,MATCH($I169,'Konstanten'!$A$6:$A$10,1)+1)-INDEX('Konstanten'!$C$6:$C$10,MATCH($I169,'Konstanten'!$A$6:$A$10,1))),INDEX('Konstanten'!$C$6:$C$10,MATCH($I169,'Konstanten'!$A$6:$A$10,1))),""))</f>
        <v/>
      </c>
      <c r="Q169" s="63">
        <f>IF(OR($B169="",$N169="",$O169="",$P169=""),"",'Konstanten'!$C$13*$O169*$P169^(1-($J169/1000)/0.075)*'Konstanten'!$C$14^'Konstanten'!$C$16*'Konstanten'!$C$15^'Konstanten'!$C$17*$N169)</f>
        <v/>
      </c>
      <c r="R169" s="64">
        <f>IF(OR($B169="",$Q169=""),"",$E169+$Q169/'Grundeinstellungen'!$J$6)</f>
        <v/>
      </c>
      <c r="S169" s="64">
        <f>IF($B169="","",IFERROR(VLOOKUP($M169,'Konstanten'!$H$6:$I$13,2,FALSE),29))</f>
        <v/>
      </c>
      <c r="T169" s="65">
        <f>IF(OR($B169="",$Q169=""),"",$Q169*$H169)</f>
        <v/>
      </c>
      <c r="U169" s="66">
        <f>IF(OR($B169="",$T169=""),"",$T169-$F169)</f>
        <v/>
      </c>
      <c r="V169" s="67">
        <f>IF(OR($B169="",$T169=""),"",IFERROR($T169/$F169,""))</f>
        <v/>
      </c>
      <c r="W169" s="65">
        <f>IF(OR($B169="",$H169=""),"",'Grundeinstellungen'!$J$13*$H169)</f>
        <v/>
      </c>
      <c r="X169" s="65">
        <f>IF(OR($B169="",$T169=""),"",MIN($T169,$F169)+$W169)</f>
        <v/>
      </c>
      <c r="Y169" s="68">
        <f>IF($B169="","",IFERROR($H169/($J169/1000),""))</f>
        <v/>
      </c>
      <c r="Z169" s="68">
        <f>IF($B169="","",IFERROR(2*$L169*$K169,""))</f>
        <v/>
      </c>
      <c r="AA169" s="68">
        <f>IF(OR($B169="",$Y169="",$Z169=""),"",$Y169+$Z169)</f>
        <v/>
      </c>
      <c r="AB169" s="68">
        <f>IF(OR($B169="",$AA169=""),"",IFERROR($AA169/$K169,""))</f>
        <v/>
      </c>
      <c r="AC169" s="69">
        <f>IF(OR($B169="",$X169=""),"",IFERROR(($X169/$K169)/('Grundeinstellungen'!$C$16*('Grundeinstellungen'!$C$6-'Grundeinstellungen'!$C$7))*3600,""))</f>
        <v/>
      </c>
      <c r="AD169" s="70">
        <f>IF(OR($B169="",$AC169=""),"",$AC169/'Grundeinstellungen'!$C$15*1000)</f>
        <v/>
      </c>
      <c r="AE169" s="71">
        <f>IF(OR($B169="",$AC169=""),"",IFERROR($AC169/3600/'Grundeinstellungen'!$C$15/'Grundeinstellungen'!$J$22,""))</f>
        <v/>
      </c>
      <c r="AF169" s="72">
        <f>IF(OR($B169="",$AE169=""),"",IFERROR($AE169*'Grundeinstellungen'!$J$21/'Grundeinstellungen'!$C$17,""))</f>
        <v/>
      </c>
      <c r="AG169" s="73">
        <f>IF(OR($B169="",$AF169=""),"",IF($AF169&lt;2300,"laminar",IF($AF169&lt;4000,"Übergangsbereich","turbulent")))</f>
        <v/>
      </c>
      <c r="AH169" s="74">
        <f>IF(OR($B169="",$AF169=""),"",IF($AF169&lt;2300,64/$AF169,0.316/$AF169^0.25))</f>
        <v/>
      </c>
      <c r="AI169" s="75">
        <f>IF(OR($B169="",$AH169="",$AB169=""),"",IFERROR($AH169*($AB169/'Grundeinstellungen'!$J$21)*('Grundeinstellungen'!$C$15/2)*$AE169^2,""))</f>
        <v/>
      </c>
      <c r="AJ169" s="76">
        <f>IF(OR($B169="",$AI169="",$AB169=""),"",IFERROR($AI169/$AB169,""))</f>
        <v/>
      </c>
      <c r="AK169" s="75">
        <f>IF(OR($B169="",$AI169=""),"",$AI169*(1+'Grundeinstellungen'!$C$24)+'Grundeinstellungen'!$C$25)</f>
        <v/>
      </c>
    </row>
    <row r="170">
      <c r="A170" s="51" t="n"/>
      <c r="B170" s="51" t="n"/>
      <c r="C170" s="51" t="n"/>
      <c r="D170" s="52" t="n"/>
      <c r="E170" s="53" t="n"/>
      <c r="F170" s="54" t="n"/>
      <c r="G170" s="55">
        <f>IF($B170="","",IFERROR($F170/$D170,""))</f>
        <v/>
      </c>
      <c r="H170" s="52" t="n"/>
      <c r="I170" s="56" t="n"/>
      <c r="J170" s="57" t="n"/>
      <c r="K170" s="58" t="n"/>
      <c r="L170" s="59" t="n"/>
      <c r="M170" s="60" t="n"/>
      <c r="N170" s="61">
        <f>IF($B170="","",IFERROR(('Grundeinstellungen'!$C$6-'Grundeinstellungen'!$C$7)/LN(('Grundeinstellungen'!$C$6-$E170)/('Grundeinstellungen'!$C$7-$E170)),""))</f>
        <v/>
      </c>
      <c r="O170" s="62">
        <f>IF($B170="","",IFERROR(IFERROR(INDEX('Konstanten'!$B$6:$B$10,MATCH($I170,'Konstanten'!$A$6:$A$10,1))+($I170-INDEX('Konstanten'!$A$6:$A$10,MATCH($I170,'Konstanten'!$A$6:$A$10,1)))/(INDEX('Konstanten'!$A$6:$A$10,MATCH($I170,'Konstanten'!$A$6:$A$10,1)+1)-INDEX('Konstanten'!$A$6:$A$10,MATCH($I170,'Konstanten'!$A$6:$A$10,1)))*(INDEX('Konstanten'!$B$6:$B$10,MATCH($I170,'Konstanten'!$A$6:$A$10,1)+1)-INDEX('Konstanten'!$B$6:$B$10,MATCH($I170,'Konstanten'!$A$6:$A$10,1))),INDEX('Konstanten'!$B$6:$B$10,MATCH($I170,'Konstanten'!$A$6:$A$10,1))),""))</f>
        <v/>
      </c>
      <c r="P170" s="62">
        <f>IF($B170="","",IFERROR(IFERROR(INDEX('Konstanten'!$C$6:$C$10,MATCH($I170,'Konstanten'!$A$6:$A$10,1))+($I170-INDEX('Konstanten'!$A$6:$A$10,MATCH($I170,'Konstanten'!$A$6:$A$10,1)))/(INDEX('Konstanten'!$A$6:$A$10,MATCH($I170,'Konstanten'!$A$6:$A$10,1)+1)-INDEX('Konstanten'!$A$6:$A$10,MATCH($I170,'Konstanten'!$A$6:$A$10,1)))*(INDEX('Konstanten'!$C$6:$C$10,MATCH($I170,'Konstanten'!$A$6:$A$10,1)+1)-INDEX('Konstanten'!$C$6:$C$10,MATCH($I170,'Konstanten'!$A$6:$A$10,1))),INDEX('Konstanten'!$C$6:$C$10,MATCH($I170,'Konstanten'!$A$6:$A$10,1))),""))</f>
        <v/>
      </c>
      <c r="Q170" s="63">
        <f>IF(OR($B170="",$N170="",$O170="",$P170=""),"",'Konstanten'!$C$13*$O170*$P170^(1-($J170/1000)/0.075)*'Konstanten'!$C$14^'Konstanten'!$C$16*'Konstanten'!$C$15^'Konstanten'!$C$17*$N170)</f>
        <v/>
      </c>
      <c r="R170" s="64">
        <f>IF(OR($B170="",$Q170=""),"",$E170+$Q170/'Grundeinstellungen'!$J$6)</f>
        <v/>
      </c>
      <c r="S170" s="64">
        <f>IF($B170="","",IFERROR(VLOOKUP($M170,'Konstanten'!$H$6:$I$13,2,FALSE),29))</f>
        <v/>
      </c>
      <c r="T170" s="65">
        <f>IF(OR($B170="",$Q170=""),"",$Q170*$H170)</f>
        <v/>
      </c>
      <c r="U170" s="66">
        <f>IF(OR($B170="",$T170=""),"",$T170-$F170)</f>
        <v/>
      </c>
      <c r="V170" s="67">
        <f>IF(OR($B170="",$T170=""),"",IFERROR($T170/$F170,""))</f>
        <v/>
      </c>
      <c r="W170" s="65">
        <f>IF(OR($B170="",$H170=""),"",'Grundeinstellungen'!$J$13*$H170)</f>
        <v/>
      </c>
      <c r="X170" s="65">
        <f>IF(OR($B170="",$T170=""),"",MIN($T170,$F170)+$W170)</f>
        <v/>
      </c>
      <c r="Y170" s="68">
        <f>IF($B170="","",IFERROR($H170/($J170/1000),""))</f>
        <v/>
      </c>
      <c r="Z170" s="68">
        <f>IF($B170="","",IFERROR(2*$L170*$K170,""))</f>
        <v/>
      </c>
      <c r="AA170" s="68">
        <f>IF(OR($B170="",$Y170="",$Z170=""),"",$Y170+$Z170)</f>
        <v/>
      </c>
      <c r="AB170" s="68">
        <f>IF(OR($B170="",$AA170=""),"",IFERROR($AA170/$K170,""))</f>
        <v/>
      </c>
      <c r="AC170" s="69">
        <f>IF(OR($B170="",$X170=""),"",IFERROR(($X170/$K170)/('Grundeinstellungen'!$C$16*('Grundeinstellungen'!$C$6-'Grundeinstellungen'!$C$7))*3600,""))</f>
        <v/>
      </c>
      <c r="AD170" s="70">
        <f>IF(OR($B170="",$AC170=""),"",$AC170/'Grundeinstellungen'!$C$15*1000)</f>
        <v/>
      </c>
      <c r="AE170" s="71">
        <f>IF(OR($B170="",$AC170=""),"",IFERROR($AC170/3600/'Grundeinstellungen'!$C$15/'Grundeinstellungen'!$J$22,""))</f>
        <v/>
      </c>
      <c r="AF170" s="72">
        <f>IF(OR($B170="",$AE170=""),"",IFERROR($AE170*'Grundeinstellungen'!$J$21/'Grundeinstellungen'!$C$17,""))</f>
        <v/>
      </c>
      <c r="AG170" s="73">
        <f>IF(OR($B170="",$AF170=""),"",IF($AF170&lt;2300,"laminar",IF($AF170&lt;4000,"Übergangsbereich","turbulent")))</f>
        <v/>
      </c>
      <c r="AH170" s="74">
        <f>IF(OR($B170="",$AF170=""),"",IF($AF170&lt;2300,64/$AF170,0.316/$AF170^0.25))</f>
        <v/>
      </c>
      <c r="AI170" s="75">
        <f>IF(OR($B170="",$AH170="",$AB170=""),"",IFERROR($AH170*($AB170/'Grundeinstellungen'!$J$21)*('Grundeinstellungen'!$C$15/2)*$AE170^2,""))</f>
        <v/>
      </c>
      <c r="AJ170" s="76">
        <f>IF(OR($B170="",$AI170="",$AB170=""),"",IFERROR($AI170/$AB170,""))</f>
        <v/>
      </c>
      <c r="AK170" s="75">
        <f>IF(OR($B170="",$AI170=""),"",$AI170*(1+'Grundeinstellungen'!$C$24)+'Grundeinstellungen'!$C$25)</f>
        <v/>
      </c>
    </row>
    <row r="171">
      <c r="A171" s="51" t="n"/>
      <c r="B171" s="51" t="n"/>
      <c r="C171" s="51" t="n"/>
      <c r="D171" s="52" t="n"/>
      <c r="E171" s="53" t="n"/>
      <c r="F171" s="54" t="n"/>
      <c r="G171" s="55">
        <f>IF($B171="","",IFERROR($F171/$D171,""))</f>
        <v/>
      </c>
      <c r="H171" s="52" t="n"/>
      <c r="I171" s="56" t="n"/>
      <c r="J171" s="57" t="n"/>
      <c r="K171" s="58" t="n"/>
      <c r="L171" s="59" t="n"/>
      <c r="M171" s="60" t="n"/>
      <c r="N171" s="61">
        <f>IF($B171="","",IFERROR(('Grundeinstellungen'!$C$6-'Grundeinstellungen'!$C$7)/LN(('Grundeinstellungen'!$C$6-$E171)/('Grundeinstellungen'!$C$7-$E171)),""))</f>
        <v/>
      </c>
      <c r="O171" s="62">
        <f>IF($B171="","",IFERROR(IFERROR(INDEX('Konstanten'!$B$6:$B$10,MATCH($I171,'Konstanten'!$A$6:$A$10,1))+($I171-INDEX('Konstanten'!$A$6:$A$10,MATCH($I171,'Konstanten'!$A$6:$A$10,1)))/(INDEX('Konstanten'!$A$6:$A$10,MATCH($I171,'Konstanten'!$A$6:$A$10,1)+1)-INDEX('Konstanten'!$A$6:$A$10,MATCH($I171,'Konstanten'!$A$6:$A$10,1)))*(INDEX('Konstanten'!$B$6:$B$10,MATCH($I171,'Konstanten'!$A$6:$A$10,1)+1)-INDEX('Konstanten'!$B$6:$B$10,MATCH($I171,'Konstanten'!$A$6:$A$10,1))),INDEX('Konstanten'!$B$6:$B$10,MATCH($I171,'Konstanten'!$A$6:$A$10,1))),""))</f>
        <v/>
      </c>
      <c r="P171" s="62">
        <f>IF($B171="","",IFERROR(IFERROR(INDEX('Konstanten'!$C$6:$C$10,MATCH($I171,'Konstanten'!$A$6:$A$10,1))+($I171-INDEX('Konstanten'!$A$6:$A$10,MATCH($I171,'Konstanten'!$A$6:$A$10,1)))/(INDEX('Konstanten'!$A$6:$A$10,MATCH($I171,'Konstanten'!$A$6:$A$10,1)+1)-INDEX('Konstanten'!$A$6:$A$10,MATCH($I171,'Konstanten'!$A$6:$A$10,1)))*(INDEX('Konstanten'!$C$6:$C$10,MATCH($I171,'Konstanten'!$A$6:$A$10,1)+1)-INDEX('Konstanten'!$C$6:$C$10,MATCH($I171,'Konstanten'!$A$6:$A$10,1))),INDEX('Konstanten'!$C$6:$C$10,MATCH($I171,'Konstanten'!$A$6:$A$10,1))),""))</f>
        <v/>
      </c>
      <c r="Q171" s="63">
        <f>IF(OR($B171="",$N171="",$O171="",$P171=""),"",'Konstanten'!$C$13*$O171*$P171^(1-($J171/1000)/0.075)*'Konstanten'!$C$14^'Konstanten'!$C$16*'Konstanten'!$C$15^'Konstanten'!$C$17*$N171)</f>
        <v/>
      </c>
      <c r="R171" s="64">
        <f>IF(OR($B171="",$Q171=""),"",$E171+$Q171/'Grundeinstellungen'!$J$6)</f>
        <v/>
      </c>
      <c r="S171" s="64">
        <f>IF($B171="","",IFERROR(VLOOKUP($M171,'Konstanten'!$H$6:$I$13,2,FALSE),29))</f>
        <v/>
      </c>
      <c r="T171" s="65">
        <f>IF(OR($B171="",$Q171=""),"",$Q171*$H171)</f>
        <v/>
      </c>
      <c r="U171" s="66">
        <f>IF(OR($B171="",$T171=""),"",$T171-$F171)</f>
        <v/>
      </c>
      <c r="V171" s="67">
        <f>IF(OR($B171="",$T171=""),"",IFERROR($T171/$F171,""))</f>
        <v/>
      </c>
      <c r="W171" s="65">
        <f>IF(OR($B171="",$H171=""),"",'Grundeinstellungen'!$J$13*$H171)</f>
        <v/>
      </c>
      <c r="X171" s="65">
        <f>IF(OR($B171="",$T171=""),"",MIN($T171,$F171)+$W171)</f>
        <v/>
      </c>
      <c r="Y171" s="68">
        <f>IF($B171="","",IFERROR($H171/($J171/1000),""))</f>
        <v/>
      </c>
      <c r="Z171" s="68">
        <f>IF($B171="","",IFERROR(2*$L171*$K171,""))</f>
        <v/>
      </c>
      <c r="AA171" s="68">
        <f>IF(OR($B171="",$Y171="",$Z171=""),"",$Y171+$Z171)</f>
        <v/>
      </c>
      <c r="AB171" s="68">
        <f>IF(OR($B171="",$AA171=""),"",IFERROR($AA171/$K171,""))</f>
        <v/>
      </c>
      <c r="AC171" s="69">
        <f>IF(OR($B171="",$X171=""),"",IFERROR(($X171/$K171)/('Grundeinstellungen'!$C$16*('Grundeinstellungen'!$C$6-'Grundeinstellungen'!$C$7))*3600,""))</f>
        <v/>
      </c>
      <c r="AD171" s="70">
        <f>IF(OR($B171="",$AC171=""),"",$AC171/'Grundeinstellungen'!$C$15*1000)</f>
        <v/>
      </c>
      <c r="AE171" s="71">
        <f>IF(OR($B171="",$AC171=""),"",IFERROR($AC171/3600/'Grundeinstellungen'!$C$15/'Grundeinstellungen'!$J$22,""))</f>
        <v/>
      </c>
      <c r="AF171" s="72">
        <f>IF(OR($B171="",$AE171=""),"",IFERROR($AE171*'Grundeinstellungen'!$J$21/'Grundeinstellungen'!$C$17,""))</f>
        <v/>
      </c>
      <c r="AG171" s="73">
        <f>IF(OR($B171="",$AF171=""),"",IF($AF171&lt;2300,"laminar",IF($AF171&lt;4000,"Übergangsbereich","turbulent")))</f>
        <v/>
      </c>
      <c r="AH171" s="74">
        <f>IF(OR($B171="",$AF171=""),"",IF($AF171&lt;2300,64/$AF171,0.316/$AF171^0.25))</f>
        <v/>
      </c>
      <c r="AI171" s="75">
        <f>IF(OR($B171="",$AH171="",$AB171=""),"",IFERROR($AH171*($AB171/'Grundeinstellungen'!$J$21)*('Grundeinstellungen'!$C$15/2)*$AE171^2,""))</f>
        <v/>
      </c>
      <c r="AJ171" s="76">
        <f>IF(OR($B171="",$AI171="",$AB171=""),"",IFERROR($AI171/$AB171,""))</f>
        <v/>
      </c>
      <c r="AK171" s="75">
        <f>IF(OR($B171="",$AI171=""),"",$AI171*(1+'Grundeinstellungen'!$C$24)+'Grundeinstellungen'!$C$25)</f>
        <v/>
      </c>
    </row>
    <row r="172">
      <c r="A172" s="51" t="n"/>
      <c r="B172" s="51" t="n"/>
      <c r="C172" s="51" t="n"/>
      <c r="D172" s="52" t="n"/>
      <c r="E172" s="53" t="n"/>
      <c r="F172" s="54" t="n"/>
      <c r="G172" s="55">
        <f>IF($B172="","",IFERROR($F172/$D172,""))</f>
        <v/>
      </c>
      <c r="H172" s="52" t="n"/>
      <c r="I172" s="56" t="n"/>
      <c r="J172" s="57" t="n"/>
      <c r="K172" s="58" t="n"/>
      <c r="L172" s="59" t="n"/>
      <c r="M172" s="60" t="n"/>
      <c r="N172" s="61">
        <f>IF($B172="","",IFERROR(('Grundeinstellungen'!$C$6-'Grundeinstellungen'!$C$7)/LN(('Grundeinstellungen'!$C$6-$E172)/('Grundeinstellungen'!$C$7-$E172)),""))</f>
        <v/>
      </c>
      <c r="O172" s="62">
        <f>IF($B172="","",IFERROR(IFERROR(INDEX('Konstanten'!$B$6:$B$10,MATCH($I172,'Konstanten'!$A$6:$A$10,1))+($I172-INDEX('Konstanten'!$A$6:$A$10,MATCH($I172,'Konstanten'!$A$6:$A$10,1)))/(INDEX('Konstanten'!$A$6:$A$10,MATCH($I172,'Konstanten'!$A$6:$A$10,1)+1)-INDEX('Konstanten'!$A$6:$A$10,MATCH($I172,'Konstanten'!$A$6:$A$10,1)))*(INDEX('Konstanten'!$B$6:$B$10,MATCH($I172,'Konstanten'!$A$6:$A$10,1)+1)-INDEX('Konstanten'!$B$6:$B$10,MATCH($I172,'Konstanten'!$A$6:$A$10,1))),INDEX('Konstanten'!$B$6:$B$10,MATCH($I172,'Konstanten'!$A$6:$A$10,1))),""))</f>
        <v/>
      </c>
      <c r="P172" s="62">
        <f>IF($B172="","",IFERROR(IFERROR(INDEX('Konstanten'!$C$6:$C$10,MATCH($I172,'Konstanten'!$A$6:$A$10,1))+($I172-INDEX('Konstanten'!$A$6:$A$10,MATCH($I172,'Konstanten'!$A$6:$A$10,1)))/(INDEX('Konstanten'!$A$6:$A$10,MATCH($I172,'Konstanten'!$A$6:$A$10,1)+1)-INDEX('Konstanten'!$A$6:$A$10,MATCH($I172,'Konstanten'!$A$6:$A$10,1)))*(INDEX('Konstanten'!$C$6:$C$10,MATCH($I172,'Konstanten'!$A$6:$A$10,1)+1)-INDEX('Konstanten'!$C$6:$C$10,MATCH($I172,'Konstanten'!$A$6:$A$10,1))),INDEX('Konstanten'!$C$6:$C$10,MATCH($I172,'Konstanten'!$A$6:$A$10,1))),""))</f>
        <v/>
      </c>
      <c r="Q172" s="63">
        <f>IF(OR($B172="",$N172="",$O172="",$P172=""),"",'Konstanten'!$C$13*$O172*$P172^(1-($J172/1000)/0.075)*'Konstanten'!$C$14^'Konstanten'!$C$16*'Konstanten'!$C$15^'Konstanten'!$C$17*$N172)</f>
        <v/>
      </c>
      <c r="R172" s="64">
        <f>IF(OR($B172="",$Q172=""),"",$E172+$Q172/'Grundeinstellungen'!$J$6)</f>
        <v/>
      </c>
      <c r="S172" s="64">
        <f>IF($B172="","",IFERROR(VLOOKUP($M172,'Konstanten'!$H$6:$I$13,2,FALSE),29))</f>
        <v/>
      </c>
      <c r="T172" s="65">
        <f>IF(OR($B172="",$Q172=""),"",$Q172*$H172)</f>
        <v/>
      </c>
      <c r="U172" s="66">
        <f>IF(OR($B172="",$T172=""),"",$T172-$F172)</f>
        <v/>
      </c>
      <c r="V172" s="67">
        <f>IF(OR($B172="",$T172=""),"",IFERROR($T172/$F172,""))</f>
        <v/>
      </c>
      <c r="W172" s="65">
        <f>IF(OR($B172="",$H172=""),"",'Grundeinstellungen'!$J$13*$H172)</f>
        <v/>
      </c>
      <c r="X172" s="65">
        <f>IF(OR($B172="",$T172=""),"",MIN($T172,$F172)+$W172)</f>
        <v/>
      </c>
      <c r="Y172" s="68">
        <f>IF($B172="","",IFERROR($H172/($J172/1000),""))</f>
        <v/>
      </c>
      <c r="Z172" s="68">
        <f>IF($B172="","",IFERROR(2*$L172*$K172,""))</f>
        <v/>
      </c>
      <c r="AA172" s="68">
        <f>IF(OR($B172="",$Y172="",$Z172=""),"",$Y172+$Z172)</f>
        <v/>
      </c>
      <c r="AB172" s="68">
        <f>IF(OR($B172="",$AA172=""),"",IFERROR($AA172/$K172,""))</f>
        <v/>
      </c>
      <c r="AC172" s="69">
        <f>IF(OR($B172="",$X172=""),"",IFERROR(($X172/$K172)/('Grundeinstellungen'!$C$16*('Grundeinstellungen'!$C$6-'Grundeinstellungen'!$C$7))*3600,""))</f>
        <v/>
      </c>
      <c r="AD172" s="70">
        <f>IF(OR($B172="",$AC172=""),"",$AC172/'Grundeinstellungen'!$C$15*1000)</f>
        <v/>
      </c>
      <c r="AE172" s="71">
        <f>IF(OR($B172="",$AC172=""),"",IFERROR($AC172/3600/'Grundeinstellungen'!$C$15/'Grundeinstellungen'!$J$22,""))</f>
        <v/>
      </c>
      <c r="AF172" s="72">
        <f>IF(OR($B172="",$AE172=""),"",IFERROR($AE172*'Grundeinstellungen'!$J$21/'Grundeinstellungen'!$C$17,""))</f>
        <v/>
      </c>
      <c r="AG172" s="73">
        <f>IF(OR($B172="",$AF172=""),"",IF($AF172&lt;2300,"laminar",IF($AF172&lt;4000,"Übergangsbereich","turbulent")))</f>
        <v/>
      </c>
      <c r="AH172" s="74">
        <f>IF(OR($B172="",$AF172=""),"",IF($AF172&lt;2300,64/$AF172,0.316/$AF172^0.25))</f>
        <v/>
      </c>
      <c r="AI172" s="75">
        <f>IF(OR($B172="",$AH172="",$AB172=""),"",IFERROR($AH172*($AB172/'Grundeinstellungen'!$J$21)*('Grundeinstellungen'!$C$15/2)*$AE172^2,""))</f>
        <v/>
      </c>
      <c r="AJ172" s="76">
        <f>IF(OR($B172="",$AI172="",$AB172=""),"",IFERROR($AI172/$AB172,""))</f>
        <v/>
      </c>
      <c r="AK172" s="75">
        <f>IF(OR($B172="",$AI172=""),"",$AI172*(1+'Grundeinstellungen'!$C$24)+'Grundeinstellungen'!$C$25)</f>
        <v/>
      </c>
    </row>
    <row r="173">
      <c r="A173" s="51" t="n"/>
      <c r="B173" s="51" t="n"/>
      <c r="C173" s="51" t="n"/>
      <c r="D173" s="52" t="n"/>
      <c r="E173" s="53" t="n"/>
      <c r="F173" s="54" t="n"/>
      <c r="G173" s="55">
        <f>IF($B173="","",IFERROR($F173/$D173,""))</f>
        <v/>
      </c>
      <c r="H173" s="52" t="n"/>
      <c r="I173" s="56" t="n"/>
      <c r="J173" s="57" t="n"/>
      <c r="K173" s="58" t="n"/>
      <c r="L173" s="59" t="n"/>
      <c r="M173" s="60" t="n"/>
      <c r="N173" s="61">
        <f>IF($B173="","",IFERROR(('Grundeinstellungen'!$C$6-'Grundeinstellungen'!$C$7)/LN(('Grundeinstellungen'!$C$6-$E173)/('Grundeinstellungen'!$C$7-$E173)),""))</f>
        <v/>
      </c>
      <c r="O173" s="62">
        <f>IF($B173="","",IFERROR(IFERROR(INDEX('Konstanten'!$B$6:$B$10,MATCH($I173,'Konstanten'!$A$6:$A$10,1))+($I173-INDEX('Konstanten'!$A$6:$A$10,MATCH($I173,'Konstanten'!$A$6:$A$10,1)))/(INDEX('Konstanten'!$A$6:$A$10,MATCH($I173,'Konstanten'!$A$6:$A$10,1)+1)-INDEX('Konstanten'!$A$6:$A$10,MATCH($I173,'Konstanten'!$A$6:$A$10,1)))*(INDEX('Konstanten'!$B$6:$B$10,MATCH($I173,'Konstanten'!$A$6:$A$10,1)+1)-INDEX('Konstanten'!$B$6:$B$10,MATCH($I173,'Konstanten'!$A$6:$A$10,1))),INDEX('Konstanten'!$B$6:$B$10,MATCH($I173,'Konstanten'!$A$6:$A$10,1))),""))</f>
        <v/>
      </c>
      <c r="P173" s="62">
        <f>IF($B173="","",IFERROR(IFERROR(INDEX('Konstanten'!$C$6:$C$10,MATCH($I173,'Konstanten'!$A$6:$A$10,1))+($I173-INDEX('Konstanten'!$A$6:$A$10,MATCH($I173,'Konstanten'!$A$6:$A$10,1)))/(INDEX('Konstanten'!$A$6:$A$10,MATCH($I173,'Konstanten'!$A$6:$A$10,1)+1)-INDEX('Konstanten'!$A$6:$A$10,MATCH($I173,'Konstanten'!$A$6:$A$10,1)))*(INDEX('Konstanten'!$C$6:$C$10,MATCH($I173,'Konstanten'!$A$6:$A$10,1)+1)-INDEX('Konstanten'!$C$6:$C$10,MATCH($I173,'Konstanten'!$A$6:$A$10,1))),INDEX('Konstanten'!$C$6:$C$10,MATCH($I173,'Konstanten'!$A$6:$A$10,1))),""))</f>
        <v/>
      </c>
      <c r="Q173" s="63">
        <f>IF(OR($B173="",$N173="",$O173="",$P173=""),"",'Konstanten'!$C$13*$O173*$P173^(1-($J173/1000)/0.075)*'Konstanten'!$C$14^'Konstanten'!$C$16*'Konstanten'!$C$15^'Konstanten'!$C$17*$N173)</f>
        <v/>
      </c>
      <c r="R173" s="64">
        <f>IF(OR($B173="",$Q173=""),"",$E173+$Q173/'Grundeinstellungen'!$J$6)</f>
        <v/>
      </c>
      <c r="S173" s="64">
        <f>IF($B173="","",IFERROR(VLOOKUP($M173,'Konstanten'!$H$6:$I$13,2,FALSE),29))</f>
        <v/>
      </c>
      <c r="T173" s="65">
        <f>IF(OR($B173="",$Q173=""),"",$Q173*$H173)</f>
        <v/>
      </c>
      <c r="U173" s="66">
        <f>IF(OR($B173="",$T173=""),"",$T173-$F173)</f>
        <v/>
      </c>
      <c r="V173" s="67">
        <f>IF(OR($B173="",$T173=""),"",IFERROR($T173/$F173,""))</f>
        <v/>
      </c>
      <c r="W173" s="65">
        <f>IF(OR($B173="",$H173=""),"",'Grundeinstellungen'!$J$13*$H173)</f>
        <v/>
      </c>
      <c r="X173" s="65">
        <f>IF(OR($B173="",$T173=""),"",MIN($T173,$F173)+$W173)</f>
        <v/>
      </c>
      <c r="Y173" s="68">
        <f>IF($B173="","",IFERROR($H173/($J173/1000),""))</f>
        <v/>
      </c>
      <c r="Z173" s="68">
        <f>IF($B173="","",IFERROR(2*$L173*$K173,""))</f>
        <v/>
      </c>
      <c r="AA173" s="68">
        <f>IF(OR($B173="",$Y173="",$Z173=""),"",$Y173+$Z173)</f>
        <v/>
      </c>
      <c r="AB173" s="68">
        <f>IF(OR($B173="",$AA173=""),"",IFERROR($AA173/$K173,""))</f>
        <v/>
      </c>
      <c r="AC173" s="69">
        <f>IF(OR($B173="",$X173=""),"",IFERROR(($X173/$K173)/('Grundeinstellungen'!$C$16*('Grundeinstellungen'!$C$6-'Grundeinstellungen'!$C$7))*3600,""))</f>
        <v/>
      </c>
      <c r="AD173" s="70">
        <f>IF(OR($B173="",$AC173=""),"",$AC173/'Grundeinstellungen'!$C$15*1000)</f>
        <v/>
      </c>
      <c r="AE173" s="71">
        <f>IF(OR($B173="",$AC173=""),"",IFERROR($AC173/3600/'Grundeinstellungen'!$C$15/'Grundeinstellungen'!$J$22,""))</f>
        <v/>
      </c>
      <c r="AF173" s="72">
        <f>IF(OR($B173="",$AE173=""),"",IFERROR($AE173*'Grundeinstellungen'!$J$21/'Grundeinstellungen'!$C$17,""))</f>
        <v/>
      </c>
      <c r="AG173" s="73">
        <f>IF(OR($B173="",$AF173=""),"",IF($AF173&lt;2300,"laminar",IF($AF173&lt;4000,"Übergangsbereich","turbulent")))</f>
        <v/>
      </c>
      <c r="AH173" s="74">
        <f>IF(OR($B173="",$AF173=""),"",IF($AF173&lt;2300,64/$AF173,0.316/$AF173^0.25))</f>
        <v/>
      </c>
      <c r="AI173" s="75">
        <f>IF(OR($B173="",$AH173="",$AB173=""),"",IFERROR($AH173*($AB173/'Grundeinstellungen'!$J$21)*('Grundeinstellungen'!$C$15/2)*$AE173^2,""))</f>
        <v/>
      </c>
      <c r="AJ173" s="76">
        <f>IF(OR($B173="",$AI173="",$AB173=""),"",IFERROR($AI173/$AB173,""))</f>
        <v/>
      </c>
      <c r="AK173" s="75">
        <f>IF(OR($B173="",$AI173=""),"",$AI173*(1+'Grundeinstellungen'!$C$24)+'Grundeinstellungen'!$C$25)</f>
        <v/>
      </c>
    </row>
    <row r="174">
      <c r="A174" s="51" t="n"/>
      <c r="B174" s="51" t="n"/>
      <c r="C174" s="51" t="n"/>
      <c r="D174" s="52" t="n"/>
      <c r="E174" s="53" t="n"/>
      <c r="F174" s="54" t="n"/>
      <c r="G174" s="55">
        <f>IF($B174="","",IFERROR($F174/$D174,""))</f>
        <v/>
      </c>
      <c r="H174" s="52" t="n"/>
      <c r="I174" s="56" t="n"/>
      <c r="J174" s="57" t="n"/>
      <c r="K174" s="58" t="n"/>
      <c r="L174" s="59" t="n"/>
      <c r="M174" s="60" t="n"/>
      <c r="N174" s="61">
        <f>IF($B174="","",IFERROR(('Grundeinstellungen'!$C$6-'Grundeinstellungen'!$C$7)/LN(('Grundeinstellungen'!$C$6-$E174)/('Grundeinstellungen'!$C$7-$E174)),""))</f>
        <v/>
      </c>
      <c r="O174" s="62">
        <f>IF($B174="","",IFERROR(IFERROR(INDEX('Konstanten'!$B$6:$B$10,MATCH($I174,'Konstanten'!$A$6:$A$10,1))+($I174-INDEX('Konstanten'!$A$6:$A$10,MATCH($I174,'Konstanten'!$A$6:$A$10,1)))/(INDEX('Konstanten'!$A$6:$A$10,MATCH($I174,'Konstanten'!$A$6:$A$10,1)+1)-INDEX('Konstanten'!$A$6:$A$10,MATCH($I174,'Konstanten'!$A$6:$A$10,1)))*(INDEX('Konstanten'!$B$6:$B$10,MATCH($I174,'Konstanten'!$A$6:$A$10,1)+1)-INDEX('Konstanten'!$B$6:$B$10,MATCH($I174,'Konstanten'!$A$6:$A$10,1))),INDEX('Konstanten'!$B$6:$B$10,MATCH($I174,'Konstanten'!$A$6:$A$10,1))),""))</f>
        <v/>
      </c>
      <c r="P174" s="62">
        <f>IF($B174="","",IFERROR(IFERROR(INDEX('Konstanten'!$C$6:$C$10,MATCH($I174,'Konstanten'!$A$6:$A$10,1))+($I174-INDEX('Konstanten'!$A$6:$A$10,MATCH($I174,'Konstanten'!$A$6:$A$10,1)))/(INDEX('Konstanten'!$A$6:$A$10,MATCH($I174,'Konstanten'!$A$6:$A$10,1)+1)-INDEX('Konstanten'!$A$6:$A$10,MATCH($I174,'Konstanten'!$A$6:$A$10,1)))*(INDEX('Konstanten'!$C$6:$C$10,MATCH($I174,'Konstanten'!$A$6:$A$10,1)+1)-INDEX('Konstanten'!$C$6:$C$10,MATCH($I174,'Konstanten'!$A$6:$A$10,1))),INDEX('Konstanten'!$C$6:$C$10,MATCH($I174,'Konstanten'!$A$6:$A$10,1))),""))</f>
        <v/>
      </c>
      <c r="Q174" s="63">
        <f>IF(OR($B174="",$N174="",$O174="",$P174=""),"",'Konstanten'!$C$13*$O174*$P174^(1-($J174/1000)/0.075)*'Konstanten'!$C$14^'Konstanten'!$C$16*'Konstanten'!$C$15^'Konstanten'!$C$17*$N174)</f>
        <v/>
      </c>
      <c r="R174" s="64">
        <f>IF(OR($B174="",$Q174=""),"",$E174+$Q174/'Grundeinstellungen'!$J$6)</f>
        <v/>
      </c>
      <c r="S174" s="64">
        <f>IF($B174="","",IFERROR(VLOOKUP($M174,'Konstanten'!$H$6:$I$13,2,FALSE),29))</f>
        <v/>
      </c>
      <c r="T174" s="65">
        <f>IF(OR($B174="",$Q174=""),"",$Q174*$H174)</f>
        <v/>
      </c>
      <c r="U174" s="66">
        <f>IF(OR($B174="",$T174=""),"",$T174-$F174)</f>
        <v/>
      </c>
      <c r="V174" s="67">
        <f>IF(OR($B174="",$T174=""),"",IFERROR($T174/$F174,""))</f>
        <v/>
      </c>
      <c r="W174" s="65">
        <f>IF(OR($B174="",$H174=""),"",'Grundeinstellungen'!$J$13*$H174)</f>
        <v/>
      </c>
      <c r="X174" s="65">
        <f>IF(OR($B174="",$T174=""),"",MIN($T174,$F174)+$W174)</f>
        <v/>
      </c>
      <c r="Y174" s="68">
        <f>IF($B174="","",IFERROR($H174/($J174/1000),""))</f>
        <v/>
      </c>
      <c r="Z174" s="68">
        <f>IF($B174="","",IFERROR(2*$L174*$K174,""))</f>
        <v/>
      </c>
      <c r="AA174" s="68">
        <f>IF(OR($B174="",$Y174="",$Z174=""),"",$Y174+$Z174)</f>
        <v/>
      </c>
      <c r="AB174" s="68">
        <f>IF(OR($B174="",$AA174=""),"",IFERROR($AA174/$K174,""))</f>
        <v/>
      </c>
      <c r="AC174" s="69">
        <f>IF(OR($B174="",$X174=""),"",IFERROR(($X174/$K174)/('Grundeinstellungen'!$C$16*('Grundeinstellungen'!$C$6-'Grundeinstellungen'!$C$7))*3600,""))</f>
        <v/>
      </c>
      <c r="AD174" s="70">
        <f>IF(OR($B174="",$AC174=""),"",$AC174/'Grundeinstellungen'!$C$15*1000)</f>
        <v/>
      </c>
      <c r="AE174" s="71">
        <f>IF(OR($B174="",$AC174=""),"",IFERROR($AC174/3600/'Grundeinstellungen'!$C$15/'Grundeinstellungen'!$J$22,""))</f>
        <v/>
      </c>
      <c r="AF174" s="72">
        <f>IF(OR($B174="",$AE174=""),"",IFERROR($AE174*'Grundeinstellungen'!$J$21/'Grundeinstellungen'!$C$17,""))</f>
        <v/>
      </c>
      <c r="AG174" s="73">
        <f>IF(OR($B174="",$AF174=""),"",IF($AF174&lt;2300,"laminar",IF($AF174&lt;4000,"Übergangsbereich","turbulent")))</f>
        <v/>
      </c>
      <c r="AH174" s="74">
        <f>IF(OR($B174="",$AF174=""),"",IF($AF174&lt;2300,64/$AF174,0.316/$AF174^0.25))</f>
        <v/>
      </c>
      <c r="AI174" s="75">
        <f>IF(OR($B174="",$AH174="",$AB174=""),"",IFERROR($AH174*($AB174/'Grundeinstellungen'!$J$21)*('Grundeinstellungen'!$C$15/2)*$AE174^2,""))</f>
        <v/>
      </c>
      <c r="AJ174" s="76">
        <f>IF(OR($B174="",$AI174="",$AB174=""),"",IFERROR($AI174/$AB174,""))</f>
        <v/>
      </c>
      <c r="AK174" s="75">
        <f>IF(OR($B174="",$AI174=""),"",$AI174*(1+'Grundeinstellungen'!$C$24)+'Grundeinstellungen'!$C$25)</f>
        <v/>
      </c>
    </row>
    <row r="175">
      <c r="A175" s="51" t="n"/>
      <c r="B175" s="51" t="n"/>
      <c r="C175" s="51" t="n"/>
      <c r="D175" s="52" t="n"/>
      <c r="E175" s="53" t="n"/>
      <c r="F175" s="54" t="n"/>
      <c r="G175" s="55">
        <f>IF($B175="","",IFERROR($F175/$D175,""))</f>
        <v/>
      </c>
      <c r="H175" s="52" t="n"/>
      <c r="I175" s="56" t="n"/>
      <c r="J175" s="57" t="n"/>
      <c r="K175" s="58" t="n"/>
      <c r="L175" s="59" t="n"/>
      <c r="M175" s="60" t="n"/>
      <c r="N175" s="61">
        <f>IF($B175="","",IFERROR(('Grundeinstellungen'!$C$6-'Grundeinstellungen'!$C$7)/LN(('Grundeinstellungen'!$C$6-$E175)/('Grundeinstellungen'!$C$7-$E175)),""))</f>
        <v/>
      </c>
      <c r="O175" s="62">
        <f>IF($B175="","",IFERROR(IFERROR(INDEX('Konstanten'!$B$6:$B$10,MATCH($I175,'Konstanten'!$A$6:$A$10,1))+($I175-INDEX('Konstanten'!$A$6:$A$10,MATCH($I175,'Konstanten'!$A$6:$A$10,1)))/(INDEX('Konstanten'!$A$6:$A$10,MATCH($I175,'Konstanten'!$A$6:$A$10,1)+1)-INDEX('Konstanten'!$A$6:$A$10,MATCH($I175,'Konstanten'!$A$6:$A$10,1)))*(INDEX('Konstanten'!$B$6:$B$10,MATCH($I175,'Konstanten'!$A$6:$A$10,1)+1)-INDEX('Konstanten'!$B$6:$B$10,MATCH($I175,'Konstanten'!$A$6:$A$10,1))),INDEX('Konstanten'!$B$6:$B$10,MATCH($I175,'Konstanten'!$A$6:$A$10,1))),""))</f>
        <v/>
      </c>
      <c r="P175" s="62">
        <f>IF($B175="","",IFERROR(IFERROR(INDEX('Konstanten'!$C$6:$C$10,MATCH($I175,'Konstanten'!$A$6:$A$10,1))+($I175-INDEX('Konstanten'!$A$6:$A$10,MATCH($I175,'Konstanten'!$A$6:$A$10,1)))/(INDEX('Konstanten'!$A$6:$A$10,MATCH($I175,'Konstanten'!$A$6:$A$10,1)+1)-INDEX('Konstanten'!$A$6:$A$10,MATCH($I175,'Konstanten'!$A$6:$A$10,1)))*(INDEX('Konstanten'!$C$6:$C$10,MATCH($I175,'Konstanten'!$A$6:$A$10,1)+1)-INDEX('Konstanten'!$C$6:$C$10,MATCH($I175,'Konstanten'!$A$6:$A$10,1))),INDEX('Konstanten'!$C$6:$C$10,MATCH($I175,'Konstanten'!$A$6:$A$10,1))),""))</f>
        <v/>
      </c>
      <c r="Q175" s="63">
        <f>IF(OR($B175="",$N175="",$O175="",$P175=""),"",'Konstanten'!$C$13*$O175*$P175^(1-($J175/1000)/0.075)*'Konstanten'!$C$14^'Konstanten'!$C$16*'Konstanten'!$C$15^'Konstanten'!$C$17*$N175)</f>
        <v/>
      </c>
      <c r="R175" s="64">
        <f>IF(OR($B175="",$Q175=""),"",$E175+$Q175/'Grundeinstellungen'!$J$6)</f>
        <v/>
      </c>
      <c r="S175" s="64">
        <f>IF($B175="","",IFERROR(VLOOKUP($M175,'Konstanten'!$H$6:$I$13,2,FALSE),29))</f>
        <v/>
      </c>
      <c r="T175" s="65">
        <f>IF(OR($B175="",$Q175=""),"",$Q175*$H175)</f>
        <v/>
      </c>
      <c r="U175" s="66">
        <f>IF(OR($B175="",$T175=""),"",$T175-$F175)</f>
        <v/>
      </c>
      <c r="V175" s="67">
        <f>IF(OR($B175="",$T175=""),"",IFERROR($T175/$F175,""))</f>
        <v/>
      </c>
      <c r="W175" s="65">
        <f>IF(OR($B175="",$H175=""),"",'Grundeinstellungen'!$J$13*$H175)</f>
        <v/>
      </c>
      <c r="X175" s="65">
        <f>IF(OR($B175="",$T175=""),"",MIN($T175,$F175)+$W175)</f>
        <v/>
      </c>
      <c r="Y175" s="68">
        <f>IF($B175="","",IFERROR($H175/($J175/1000),""))</f>
        <v/>
      </c>
      <c r="Z175" s="68">
        <f>IF($B175="","",IFERROR(2*$L175*$K175,""))</f>
        <v/>
      </c>
      <c r="AA175" s="68">
        <f>IF(OR($B175="",$Y175="",$Z175=""),"",$Y175+$Z175)</f>
        <v/>
      </c>
      <c r="AB175" s="68">
        <f>IF(OR($B175="",$AA175=""),"",IFERROR($AA175/$K175,""))</f>
        <v/>
      </c>
      <c r="AC175" s="69">
        <f>IF(OR($B175="",$X175=""),"",IFERROR(($X175/$K175)/('Grundeinstellungen'!$C$16*('Grundeinstellungen'!$C$6-'Grundeinstellungen'!$C$7))*3600,""))</f>
        <v/>
      </c>
      <c r="AD175" s="70">
        <f>IF(OR($B175="",$AC175=""),"",$AC175/'Grundeinstellungen'!$C$15*1000)</f>
        <v/>
      </c>
      <c r="AE175" s="71">
        <f>IF(OR($B175="",$AC175=""),"",IFERROR($AC175/3600/'Grundeinstellungen'!$C$15/'Grundeinstellungen'!$J$22,""))</f>
        <v/>
      </c>
      <c r="AF175" s="72">
        <f>IF(OR($B175="",$AE175=""),"",IFERROR($AE175*'Grundeinstellungen'!$J$21/'Grundeinstellungen'!$C$17,""))</f>
        <v/>
      </c>
      <c r="AG175" s="73">
        <f>IF(OR($B175="",$AF175=""),"",IF($AF175&lt;2300,"laminar",IF($AF175&lt;4000,"Übergangsbereich","turbulent")))</f>
        <v/>
      </c>
      <c r="AH175" s="74">
        <f>IF(OR($B175="",$AF175=""),"",IF($AF175&lt;2300,64/$AF175,0.316/$AF175^0.25))</f>
        <v/>
      </c>
      <c r="AI175" s="75">
        <f>IF(OR($B175="",$AH175="",$AB175=""),"",IFERROR($AH175*($AB175/'Grundeinstellungen'!$J$21)*('Grundeinstellungen'!$C$15/2)*$AE175^2,""))</f>
        <v/>
      </c>
      <c r="AJ175" s="76">
        <f>IF(OR($B175="",$AI175="",$AB175=""),"",IFERROR($AI175/$AB175,""))</f>
        <v/>
      </c>
      <c r="AK175" s="75">
        <f>IF(OR($B175="",$AI175=""),"",$AI175*(1+'Grundeinstellungen'!$C$24)+'Grundeinstellungen'!$C$25)</f>
        <v/>
      </c>
    </row>
    <row r="176">
      <c r="A176" s="51" t="n"/>
      <c r="B176" s="51" t="n"/>
      <c r="C176" s="51" t="n"/>
      <c r="D176" s="52" t="n"/>
      <c r="E176" s="53" t="n"/>
      <c r="F176" s="54" t="n"/>
      <c r="G176" s="55">
        <f>IF($B176="","",IFERROR($F176/$D176,""))</f>
        <v/>
      </c>
      <c r="H176" s="52" t="n"/>
      <c r="I176" s="56" t="n"/>
      <c r="J176" s="57" t="n"/>
      <c r="K176" s="58" t="n"/>
      <c r="L176" s="59" t="n"/>
      <c r="M176" s="60" t="n"/>
      <c r="N176" s="61">
        <f>IF($B176="","",IFERROR(('Grundeinstellungen'!$C$6-'Grundeinstellungen'!$C$7)/LN(('Grundeinstellungen'!$C$6-$E176)/('Grundeinstellungen'!$C$7-$E176)),""))</f>
        <v/>
      </c>
      <c r="O176" s="62">
        <f>IF($B176="","",IFERROR(IFERROR(INDEX('Konstanten'!$B$6:$B$10,MATCH($I176,'Konstanten'!$A$6:$A$10,1))+($I176-INDEX('Konstanten'!$A$6:$A$10,MATCH($I176,'Konstanten'!$A$6:$A$10,1)))/(INDEX('Konstanten'!$A$6:$A$10,MATCH($I176,'Konstanten'!$A$6:$A$10,1)+1)-INDEX('Konstanten'!$A$6:$A$10,MATCH($I176,'Konstanten'!$A$6:$A$10,1)))*(INDEX('Konstanten'!$B$6:$B$10,MATCH($I176,'Konstanten'!$A$6:$A$10,1)+1)-INDEX('Konstanten'!$B$6:$B$10,MATCH($I176,'Konstanten'!$A$6:$A$10,1))),INDEX('Konstanten'!$B$6:$B$10,MATCH($I176,'Konstanten'!$A$6:$A$10,1))),""))</f>
        <v/>
      </c>
      <c r="P176" s="62">
        <f>IF($B176="","",IFERROR(IFERROR(INDEX('Konstanten'!$C$6:$C$10,MATCH($I176,'Konstanten'!$A$6:$A$10,1))+($I176-INDEX('Konstanten'!$A$6:$A$10,MATCH($I176,'Konstanten'!$A$6:$A$10,1)))/(INDEX('Konstanten'!$A$6:$A$10,MATCH($I176,'Konstanten'!$A$6:$A$10,1)+1)-INDEX('Konstanten'!$A$6:$A$10,MATCH($I176,'Konstanten'!$A$6:$A$10,1)))*(INDEX('Konstanten'!$C$6:$C$10,MATCH($I176,'Konstanten'!$A$6:$A$10,1)+1)-INDEX('Konstanten'!$C$6:$C$10,MATCH($I176,'Konstanten'!$A$6:$A$10,1))),INDEX('Konstanten'!$C$6:$C$10,MATCH($I176,'Konstanten'!$A$6:$A$10,1))),""))</f>
        <v/>
      </c>
      <c r="Q176" s="63">
        <f>IF(OR($B176="",$N176="",$O176="",$P176=""),"",'Konstanten'!$C$13*$O176*$P176^(1-($J176/1000)/0.075)*'Konstanten'!$C$14^'Konstanten'!$C$16*'Konstanten'!$C$15^'Konstanten'!$C$17*$N176)</f>
        <v/>
      </c>
      <c r="R176" s="64">
        <f>IF(OR($B176="",$Q176=""),"",$E176+$Q176/'Grundeinstellungen'!$J$6)</f>
        <v/>
      </c>
      <c r="S176" s="64">
        <f>IF($B176="","",IFERROR(VLOOKUP($M176,'Konstanten'!$H$6:$I$13,2,FALSE),29))</f>
        <v/>
      </c>
      <c r="T176" s="65">
        <f>IF(OR($B176="",$Q176=""),"",$Q176*$H176)</f>
        <v/>
      </c>
      <c r="U176" s="66">
        <f>IF(OR($B176="",$T176=""),"",$T176-$F176)</f>
        <v/>
      </c>
      <c r="V176" s="67">
        <f>IF(OR($B176="",$T176=""),"",IFERROR($T176/$F176,""))</f>
        <v/>
      </c>
      <c r="W176" s="65">
        <f>IF(OR($B176="",$H176=""),"",'Grundeinstellungen'!$J$13*$H176)</f>
        <v/>
      </c>
      <c r="X176" s="65">
        <f>IF(OR($B176="",$T176=""),"",MIN($T176,$F176)+$W176)</f>
        <v/>
      </c>
      <c r="Y176" s="68">
        <f>IF($B176="","",IFERROR($H176/($J176/1000),""))</f>
        <v/>
      </c>
      <c r="Z176" s="68">
        <f>IF($B176="","",IFERROR(2*$L176*$K176,""))</f>
        <v/>
      </c>
      <c r="AA176" s="68">
        <f>IF(OR($B176="",$Y176="",$Z176=""),"",$Y176+$Z176)</f>
        <v/>
      </c>
      <c r="AB176" s="68">
        <f>IF(OR($B176="",$AA176=""),"",IFERROR($AA176/$K176,""))</f>
        <v/>
      </c>
      <c r="AC176" s="69">
        <f>IF(OR($B176="",$X176=""),"",IFERROR(($X176/$K176)/('Grundeinstellungen'!$C$16*('Grundeinstellungen'!$C$6-'Grundeinstellungen'!$C$7))*3600,""))</f>
        <v/>
      </c>
      <c r="AD176" s="70">
        <f>IF(OR($B176="",$AC176=""),"",$AC176/'Grundeinstellungen'!$C$15*1000)</f>
        <v/>
      </c>
      <c r="AE176" s="71">
        <f>IF(OR($B176="",$AC176=""),"",IFERROR($AC176/3600/'Grundeinstellungen'!$C$15/'Grundeinstellungen'!$J$22,""))</f>
        <v/>
      </c>
      <c r="AF176" s="72">
        <f>IF(OR($B176="",$AE176=""),"",IFERROR($AE176*'Grundeinstellungen'!$J$21/'Grundeinstellungen'!$C$17,""))</f>
        <v/>
      </c>
      <c r="AG176" s="73">
        <f>IF(OR($B176="",$AF176=""),"",IF($AF176&lt;2300,"laminar",IF($AF176&lt;4000,"Übergangsbereich","turbulent")))</f>
        <v/>
      </c>
      <c r="AH176" s="74">
        <f>IF(OR($B176="",$AF176=""),"",IF($AF176&lt;2300,64/$AF176,0.316/$AF176^0.25))</f>
        <v/>
      </c>
      <c r="AI176" s="75">
        <f>IF(OR($B176="",$AH176="",$AB176=""),"",IFERROR($AH176*($AB176/'Grundeinstellungen'!$J$21)*('Grundeinstellungen'!$C$15/2)*$AE176^2,""))</f>
        <v/>
      </c>
      <c r="AJ176" s="76">
        <f>IF(OR($B176="",$AI176="",$AB176=""),"",IFERROR($AI176/$AB176,""))</f>
        <v/>
      </c>
      <c r="AK176" s="75">
        <f>IF(OR($B176="",$AI176=""),"",$AI176*(1+'Grundeinstellungen'!$C$24)+'Grundeinstellungen'!$C$25)</f>
        <v/>
      </c>
    </row>
    <row r="177">
      <c r="A177" s="51" t="n"/>
      <c r="B177" s="51" t="n"/>
      <c r="C177" s="51" t="n"/>
      <c r="D177" s="52" t="n"/>
      <c r="E177" s="53" t="n"/>
      <c r="F177" s="54" t="n"/>
      <c r="G177" s="55">
        <f>IF($B177="","",IFERROR($F177/$D177,""))</f>
        <v/>
      </c>
      <c r="H177" s="52" t="n"/>
      <c r="I177" s="56" t="n"/>
      <c r="J177" s="57" t="n"/>
      <c r="K177" s="58" t="n"/>
      <c r="L177" s="59" t="n"/>
      <c r="M177" s="60" t="n"/>
      <c r="N177" s="61">
        <f>IF($B177="","",IFERROR(('Grundeinstellungen'!$C$6-'Grundeinstellungen'!$C$7)/LN(('Grundeinstellungen'!$C$6-$E177)/('Grundeinstellungen'!$C$7-$E177)),""))</f>
        <v/>
      </c>
      <c r="O177" s="62">
        <f>IF($B177="","",IFERROR(IFERROR(INDEX('Konstanten'!$B$6:$B$10,MATCH($I177,'Konstanten'!$A$6:$A$10,1))+($I177-INDEX('Konstanten'!$A$6:$A$10,MATCH($I177,'Konstanten'!$A$6:$A$10,1)))/(INDEX('Konstanten'!$A$6:$A$10,MATCH($I177,'Konstanten'!$A$6:$A$10,1)+1)-INDEX('Konstanten'!$A$6:$A$10,MATCH($I177,'Konstanten'!$A$6:$A$10,1)))*(INDEX('Konstanten'!$B$6:$B$10,MATCH($I177,'Konstanten'!$A$6:$A$10,1)+1)-INDEX('Konstanten'!$B$6:$B$10,MATCH($I177,'Konstanten'!$A$6:$A$10,1))),INDEX('Konstanten'!$B$6:$B$10,MATCH($I177,'Konstanten'!$A$6:$A$10,1))),""))</f>
        <v/>
      </c>
      <c r="P177" s="62">
        <f>IF($B177="","",IFERROR(IFERROR(INDEX('Konstanten'!$C$6:$C$10,MATCH($I177,'Konstanten'!$A$6:$A$10,1))+($I177-INDEX('Konstanten'!$A$6:$A$10,MATCH($I177,'Konstanten'!$A$6:$A$10,1)))/(INDEX('Konstanten'!$A$6:$A$10,MATCH($I177,'Konstanten'!$A$6:$A$10,1)+1)-INDEX('Konstanten'!$A$6:$A$10,MATCH($I177,'Konstanten'!$A$6:$A$10,1)))*(INDEX('Konstanten'!$C$6:$C$10,MATCH($I177,'Konstanten'!$A$6:$A$10,1)+1)-INDEX('Konstanten'!$C$6:$C$10,MATCH($I177,'Konstanten'!$A$6:$A$10,1))),INDEX('Konstanten'!$C$6:$C$10,MATCH($I177,'Konstanten'!$A$6:$A$10,1))),""))</f>
        <v/>
      </c>
      <c r="Q177" s="63">
        <f>IF(OR($B177="",$N177="",$O177="",$P177=""),"",'Konstanten'!$C$13*$O177*$P177^(1-($J177/1000)/0.075)*'Konstanten'!$C$14^'Konstanten'!$C$16*'Konstanten'!$C$15^'Konstanten'!$C$17*$N177)</f>
        <v/>
      </c>
      <c r="R177" s="64">
        <f>IF(OR($B177="",$Q177=""),"",$E177+$Q177/'Grundeinstellungen'!$J$6)</f>
        <v/>
      </c>
      <c r="S177" s="64">
        <f>IF($B177="","",IFERROR(VLOOKUP($M177,'Konstanten'!$H$6:$I$13,2,FALSE),29))</f>
        <v/>
      </c>
      <c r="T177" s="65">
        <f>IF(OR($B177="",$Q177=""),"",$Q177*$H177)</f>
        <v/>
      </c>
      <c r="U177" s="66">
        <f>IF(OR($B177="",$T177=""),"",$T177-$F177)</f>
        <v/>
      </c>
      <c r="V177" s="67">
        <f>IF(OR($B177="",$T177=""),"",IFERROR($T177/$F177,""))</f>
        <v/>
      </c>
      <c r="W177" s="65">
        <f>IF(OR($B177="",$H177=""),"",'Grundeinstellungen'!$J$13*$H177)</f>
        <v/>
      </c>
      <c r="X177" s="65">
        <f>IF(OR($B177="",$T177=""),"",MIN($T177,$F177)+$W177)</f>
        <v/>
      </c>
      <c r="Y177" s="68">
        <f>IF($B177="","",IFERROR($H177/($J177/1000),""))</f>
        <v/>
      </c>
      <c r="Z177" s="68">
        <f>IF($B177="","",IFERROR(2*$L177*$K177,""))</f>
        <v/>
      </c>
      <c r="AA177" s="68">
        <f>IF(OR($B177="",$Y177="",$Z177=""),"",$Y177+$Z177)</f>
        <v/>
      </c>
      <c r="AB177" s="68">
        <f>IF(OR($B177="",$AA177=""),"",IFERROR($AA177/$K177,""))</f>
        <v/>
      </c>
      <c r="AC177" s="69">
        <f>IF(OR($B177="",$X177=""),"",IFERROR(($X177/$K177)/('Grundeinstellungen'!$C$16*('Grundeinstellungen'!$C$6-'Grundeinstellungen'!$C$7))*3600,""))</f>
        <v/>
      </c>
      <c r="AD177" s="70">
        <f>IF(OR($B177="",$AC177=""),"",$AC177/'Grundeinstellungen'!$C$15*1000)</f>
        <v/>
      </c>
      <c r="AE177" s="71">
        <f>IF(OR($B177="",$AC177=""),"",IFERROR($AC177/3600/'Grundeinstellungen'!$C$15/'Grundeinstellungen'!$J$22,""))</f>
        <v/>
      </c>
      <c r="AF177" s="72">
        <f>IF(OR($B177="",$AE177=""),"",IFERROR($AE177*'Grundeinstellungen'!$J$21/'Grundeinstellungen'!$C$17,""))</f>
        <v/>
      </c>
      <c r="AG177" s="73">
        <f>IF(OR($B177="",$AF177=""),"",IF($AF177&lt;2300,"laminar",IF($AF177&lt;4000,"Übergangsbereich","turbulent")))</f>
        <v/>
      </c>
      <c r="AH177" s="74">
        <f>IF(OR($B177="",$AF177=""),"",IF($AF177&lt;2300,64/$AF177,0.316/$AF177^0.25))</f>
        <v/>
      </c>
      <c r="AI177" s="75">
        <f>IF(OR($B177="",$AH177="",$AB177=""),"",IFERROR($AH177*($AB177/'Grundeinstellungen'!$J$21)*('Grundeinstellungen'!$C$15/2)*$AE177^2,""))</f>
        <v/>
      </c>
      <c r="AJ177" s="76">
        <f>IF(OR($B177="",$AI177="",$AB177=""),"",IFERROR($AI177/$AB177,""))</f>
        <v/>
      </c>
      <c r="AK177" s="75">
        <f>IF(OR($B177="",$AI177=""),"",$AI177*(1+'Grundeinstellungen'!$C$24)+'Grundeinstellungen'!$C$25)</f>
        <v/>
      </c>
    </row>
    <row r="178">
      <c r="A178" s="51" t="n"/>
      <c r="B178" s="51" t="n"/>
      <c r="C178" s="51" t="n"/>
      <c r="D178" s="52" t="n"/>
      <c r="E178" s="53" t="n"/>
      <c r="F178" s="54" t="n"/>
      <c r="G178" s="55">
        <f>IF($B178="","",IFERROR($F178/$D178,""))</f>
        <v/>
      </c>
      <c r="H178" s="52" t="n"/>
      <c r="I178" s="56" t="n"/>
      <c r="J178" s="57" t="n"/>
      <c r="K178" s="58" t="n"/>
      <c r="L178" s="59" t="n"/>
      <c r="M178" s="60" t="n"/>
      <c r="N178" s="61">
        <f>IF($B178="","",IFERROR(('Grundeinstellungen'!$C$6-'Grundeinstellungen'!$C$7)/LN(('Grundeinstellungen'!$C$6-$E178)/('Grundeinstellungen'!$C$7-$E178)),""))</f>
        <v/>
      </c>
      <c r="O178" s="62">
        <f>IF($B178="","",IFERROR(IFERROR(INDEX('Konstanten'!$B$6:$B$10,MATCH($I178,'Konstanten'!$A$6:$A$10,1))+($I178-INDEX('Konstanten'!$A$6:$A$10,MATCH($I178,'Konstanten'!$A$6:$A$10,1)))/(INDEX('Konstanten'!$A$6:$A$10,MATCH($I178,'Konstanten'!$A$6:$A$10,1)+1)-INDEX('Konstanten'!$A$6:$A$10,MATCH($I178,'Konstanten'!$A$6:$A$10,1)))*(INDEX('Konstanten'!$B$6:$B$10,MATCH($I178,'Konstanten'!$A$6:$A$10,1)+1)-INDEX('Konstanten'!$B$6:$B$10,MATCH($I178,'Konstanten'!$A$6:$A$10,1))),INDEX('Konstanten'!$B$6:$B$10,MATCH($I178,'Konstanten'!$A$6:$A$10,1))),""))</f>
        <v/>
      </c>
      <c r="P178" s="62">
        <f>IF($B178="","",IFERROR(IFERROR(INDEX('Konstanten'!$C$6:$C$10,MATCH($I178,'Konstanten'!$A$6:$A$10,1))+($I178-INDEX('Konstanten'!$A$6:$A$10,MATCH($I178,'Konstanten'!$A$6:$A$10,1)))/(INDEX('Konstanten'!$A$6:$A$10,MATCH($I178,'Konstanten'!$A$6:$A$10,1)+1)-INDEX('Konstanten'!$A$6:$A$10,MATCH($I178,'Konstanten'!$A$6:$A$10,1)))*(INDEX('Konstanten'!$C$6:$C$10,MATCH($I178,'Konstanten'!$A$6:$A$10,1)+1)-INDEX('Konstanten'!$C$6:$C$10,MATCH($I178,'Konstanten'!$A$6:$A$10,1))),INDEX('Konstanten'!$C$6:$C$10,MATCH($I178,'Konstanten'!$A$6:$A$10,1))),""))</f>
        <v/>
      </c>
      <c r="Q178" s="63">
        <f>IF(OR($B178="",$N178="",$O178="",$P178=""),"",'Konstanten'!$C$13*$O178*$P178^(1-($J178/1000)/0.075)*'Konstanten'!$C$14^'Konstanten'!$C$16*'Konstanten'!$C$15^'Konstanten'!$C$17*$N178)</f>
        <v/>
      </c>
      <c r="R178" s="64">
        <f>IF(OR($B178="",$Q178=""),"",$E178+$Q178/'Grundeinstellungen'!$J$6)</f>
        <v/>
      </c>
      <c r="S178" s="64">
        <f>IF($B178="","",IFERROR(VLOOKUP($M178,'Konstanten'!$H$6:$I$13,2,FALSE),29))</f>
        <v/>
      </c>
      <c r="T178" s="65">
        <f>IF(OR($B178="",$Q178=""),"",$Q178*$H178)</f>
        <v/>
      </c>
      <c r="U178" s="66">
        <f>IF(OR($B178="",$T178=""),"",$T178-$F178)</f>
        <v/>
      </c>
      <c r="V178" s="67">
        <f>IF(OR($B178="",$T178=""),"",IFERROR($T178/$F178,""))</f>
        <v/>
      </c>
      <c r="W178" s="65">
        <f>IF(OR($B178="",$H178=""),"",'Grundeinstellungen'!$J$13*$H178)</f>
        <v/>
      </c>
      <c r="X178" s="65">
        <f>IF(OR($B178="",$T178=""),"",MIN($T178,$F178)+$W178)</f>
        <v/>
      </c>
      <c r="Y178" s="68">
        <f>IF($B178="","",IFERROR($H178/($J178/1000),""))</f>
        <v/>
      </c>
      <c r="Z178" s="68">
        <f>IF($B178="","",IFERROR(2*$L178*$K178,""))</f>
        <v/>
      </c>
      <c r="AA178" s="68">
        <f>IF(OR($B178="",$Y178="",$Z178=""),"",$Y178+$Z178)</f>
        <v/>
      </c>
      <c r="AB178" s="68">
        <f>IF(OR($B178="",$AA178=""),"",IFERROR($AA178/$K178,""))</f>
        <v/>
      </c>
      <c r="AC178" s="69">
        <f>IF(OR($B178="",$X178=""),"",IFERROR(($X178/$K178)/('Grundeinstellungen'!$C$16*('Grundeinstellungen'!$C$6-'Grundeinstellungen'!$C$7))*3600,""))</f>
        <v/>
      </c>
      <c r="AD178" s="70">
        <f>IF(OR($B178="",$AC178=""),"",$AC178/'Grundeinstellungen'!$C$15*1000)</f>
        <v/>
      </c>
      <c r="AE178" s="71">
        <f>IF(OR($B178="",$AC178=""),"",IFERROR($AC178/3600/'Grundeinstellungen'!$C$15/'Grundeinstellungen'!$J$22,""))</f>
        <v/>
      </c>
      <c r="AF178" s="72">
        <f>IF(OR($B178="",$AE178=""),"",IFERROR($AE178*'Grundeinstellungen'!$J$21/'Grundeinstellungen'!$C$17,""))</f>
        <v/>
      </c>
      <c r="AG178" s="73">
        <f>IF(OR($B178="",$AF178=""),"",IF($AF178&lt;2300,"laminar",IF($AF178&lt;4000,"Übergangsbereich","turbulent")))</f>
        <v/>
      </c>
      <c r="AH178" s="74">
        <f>IF(OR($B178="",$AF178=""),"",IF($AF178&lt;2300,64/$AF178,0.316/$AF178^0.25))</f>
        <v/>
      </c>
      <c r="AI178" s="75">
        <f>IF(OR($B178="",$AH178="",$AB178=""),"",IFERROR($AH178*($AB178/'Grundeinstellungen'!$J$21)*('Grundeinstellungen'!$C$15/2)*$AE178^2,""))</f>
        <v/>
      </c>
      <c r="AJ178" s="76">
        <f>IF(OR($B178="",$AI178="",$AB178=""),"",IFERROR($AI178/$AB178,""))</f>
        <v/>
      </c>
      <c r="AK178" s="75">
        <f>IF(OR($B178="",$AI178=""),"",$AI178*(1+'Grundeinstellungen'!$C$24)+'Grundeinstellungen'!$C$25)</f>
        <v/>
      </c>
    </row>
    <row r="179">
      <c r="A179" s="51" t="n"/>
      <c r="B179" s="51" t="n"/>
      <c r="C179" s="51" t="n"/>
      <c r="D179" s="52" t="n"/>
      <c r="E179" s="53" t="n"/>
      <c r="F179" s="54" t="n"/>
      <c r="G179" s="55">
        <f>IF($B179="","",IFERROR($F179/$D179,""))</f>
        <v/>
      </c>
      <c r="H179" s="52" t="n"/>
      <c r="I179" s="56" t="n"/>
      <c r="J179" s="57" t="n"/>
      <c r="K179" s="58" t="n"/>
      <c r="L179" s="59" t="n"/>
      <c r="M179" s="60" t="n"/>
      <c r="N179" s="61">
        <f>IF($B179="","",IFERROR(('Grundeinstellungen'!$C$6-'Grundeinstellungen'!$C$7)/LN(('Grundeinstellungen'!$C$6-$E179)/('Grundeinstellungen'!$C$7-$E179)),""))</f>
        <v/>
      </c>
      <c r="O179" s="62">
        <f>IF($B179="","",IFERROR(IFERROR(INDEX('Konstanten'!$B$6:$B$10,MATCH($I179,'Konstanten'!$A$6:$A$10,1))+($I179-INDEX('Konstanten'!$A$6:$A$10,MATCH($I179,'Konstanten'!$A$6:$A$10,1)))/(INDEX('Konstanten'!$A$6:$A$10,MATCH($I179,'Konstanten'!$A$6:$A$10,1)+1)-INDEX('Konstanten'!$A$6:$A$10,MATCH($I179,'Konstanten'!$A$6:$A$10,1)))*(INDEX('Konstanten'!$B$6:$B$10,MATCH($I179,'Konstanten'!$A$6:$A$10,1)+1)-INDEX('Konstanten'!$B$6:$B$10,MATCH($I179,'Konstanten'!$A$6:$A$10,1))),INDEX('Konstanten'!$B$6:$B$10,MATCH($I179,'Konstanten'!$A$6:$A$10,1))),""))</f>
        <v/>
      </c>
      <c r="P179" s="62">
        <f>IF($B179="","",IFERROR(IFERROR(INDEX('Konstanten'!$C$6:$C$10,MATCH($I179,'Konstanten'!$A$6:$A$10,1))+($I179-INDEX('Konstanten'!$A$6:$A$10,MATCH($I179,'Konstanten'!$A$6:$A$10,1)))/(INDEX('Konstanten'!$A$6:$A$10,MATCH($I179,'Konstanten'!$A$6:$A$10,1)+1)-INDEX('Konstanten'!$A$6:$A$10,MATCH($I179,'Konstanten'!$A$6:$A$10,1)))*(INDEX('Konstanten'!$C$6:$C$10,MATCH($I179,'Konstanten'!$A$6:$A$10,1)+1)-INDEX('Konstanten'!$C$6:$C$10,MATCH($I179,'Konstanten'!$A$6:$A$10,1))),INDEX('Konstanten'!$C$6:$C$10,MATCH($I179,'Konstanten'!$A$6:$A$10,1))),""))</f>
        <v/>
      </c>
      <c r="Q179" s="63">
        <f>IF(OR($B179="",$N179="",$O179="",$P179=""),"",'Konstanten'!$C$13*$O179*$P179^(1-($J179/1000)/0.075)*'Konstanten'!$C$14^'Konstanten'!$C$16*'Konstanten'!$C$15^'Konstanten'!$C$17*$N179)</f>
        <v/>
      </c>
      <c r="R179" s="64">
        <f>IF(OR($B179="",$Q179=""),"",$E179+$Q179/'Grundeinstellungen'!$J$6)</f>
        <v/>
      </c>
      <c r="S179" s="64">
        <f>IF($B179="","",IFERROR(VLOOKUP($M179,'Konstanten'!$H$6:$I$13,2,FALSE),29))</f>
        <v/>
      </c>
      <c r="T179" s="65">
        <f>IF(OR($B179="",$Q179=""),"",$Q179*$H179)</f>
        <v/>
      </c>
      <c r="U179" s="66">
        <f>IF(OR($B179="",$T179=""),"",$T179-$F179)</f>
        <v/>
      </c>
      <c r="V179" s="67">
        <f>IF(OR($B179="",$T179=""),"",IFERROR($T179/$F179,""))</f>
        <v/>
      </c>
      <c r="W179" s="65">
        <f>IF(OR($B179="",$H179=""),"",'Grundeinstellungen'!$J$13*$H179)</f>
        <v/>
      </c>
      <c r="X179" s="65">
        <f>IF(OR($B179="",$T179=""),"",MIN($T179,$F179)+$W179)</f>
        <v/>
      </c>
      <c r="Y179" s="68">
        <f>IF($B179="","",IFERROR($H179/($J179/1000),""))</f>
        <v/>
      </c>
      <c r="Z179" s="68">
        <f>IF($B179="","",IFERROR(2*$L179*$K179,""))</f>
        <v/>
      </c>
      <c r="AA179" s="68">
        <f>IF(OR($B179="",$Y179="",$Z179=""),"",$Y179+$Z179)</f>
        <v/>
      </c>
      <c r="AB179" s="68">
        <f>IF(OR($B179="",$AA179=""),"",IFERROR($AA179/$K179,""))</f>
        <v/>
      </c>
      <c r="AC179" s="69">
        <f>IF(OR($B179="",$X179=""),"",IFERROR(($X179/$K179)/('Grundeinstellungen'!$C$16*('Grundeinstellungen'!$C$6-'Grundeinstellungen'!$C$7))*3600,""))</f>
        <v/>
      </c>
      <c r="AD179" s="70">
        <f>IF(OR($B179="",$AC179=""),"",$AC179/'Grundeinstellungen'!$C$15*1000)</f>
        <v/>
      </c>
      <c r="AE179" s="71">
        <f>IF(OR($B179="",$AC179=""),"",IFERROR($AC179/3600/'Grundeinstellungen'!$C$15/'Grundeinstellungen'!$J$22,""))</f>
        <v/>
      </c>
      <c r="AF179" s="72">
        <f>IF(OR($B179="",$AE179=""),"",IFERROR($AE179*'Grundeinstellungen'!$J$21/'Grundeinstellungen'!$C$17,""))</f>
        <v/>
      </c>
      <c r="AG179" s="73">
        <f>IF(OR($B179="",$AF179=""),"",IF($AF179&lt;2300,"laminar",IF($AF179&lt;4000,"Übergangsbereich","turbulent")))</f>
        <v/>
      </c>
      <c r="AH179" s="74">
        <f>IF(OR($B179="",$AF179=""),"",IF($AF179&lt;2300,64/$AF179,0.316/$AF179^0.25))</f>
        <v/>
      </c>
      <c r="AI179" s="75">
        <f>IF(OR($B179="",$AH179="",$AB179=""),"",IFERROR($AH179*($AB179/'Grundeinstellungen'!$J$21)*('Grundeinstellungen'!$C$15/2)*$AE179^2,""))</f>
        <v/>
      </c>
      <c r="AJ179" s="76">
        <f>IF(OR($B179="",$AI179="",$AB179=""),"",IFERROR($AI179/$AB179,""))</f>
        <v/>
      </c>
      <c r="AK179" s="75">
        <f>IF(OR($B179="",$AI179=""),"",$AI179*(1+'Grundeinstellungen'!$C$24)+'Grundeinstellungen'!$C$25)</f>
        <v/>
      </c>
    </row>
    <row r="180">
      <c r="A180" s="51" t="n"/>
      <c r="B180" s="51" t="n"/>
      <c r="C180" s="51" t="n"/>
      <c r="D180" s="52" t="n"/>
      <c r="E180" s="53" t="n"/>
      <c r="F180" s="54" t="n"/>
      <c r="G180" s="55">
        <f>IF($B180="","",IFERROR($F180/$D180,""))</f>
        <v/>
      </c>
      <c r="H180" s="52" t="n"/>
      <c r="I180" s="56" t="n"/>
      <c r="J180" s="57" t="n"/>
      <c r="K180" s="58" t="n"/>
      <c r="L180" s="59" t="n"/>
      <c r="M180" s="60" t="n"/>
      <c r="N180" s="61">
        <f>IF($B180="","",IFERROR(('Grundeinstellungen'!$C$6-'Grundeinstellungen'!$C$7)/LN(('Grundeinstellungen'!$C$6-$E180)/('Grundeinstellungen'!$C$7-$E180)),""))</f>
        <v/>
      </c>
      <c r="O180" s="62">
        <f>IF($B180="","",IFERROR(IFERROR(INDEX('Konstanten'!$B$6:$B$10,MATCH($I180,'Konstanten'!$A$6:$A$10,1))+($I180-INDEX('Konstanten'!$A$6:$A$10,MATCH($I180,'Konstanten'!$A$6:$A$10,1)))/(INDEX('Konstanten'!$A$6:$A$10,MATCH($I180,'Konstanten'!$A$6:$A$10,1)+1)-INDEX('Konstanten'!$A$6:$A$10,MATCH($I180,'Konstanten'!$A$6:$A$10,1)))*(INDEX('Konstanten'!$B$6:$B$10,MATCH($I180,'Konstanten'!$A$6:$A$10,1)+1)-INDEX('Konstanten'!$B$6:$B$10,MATCH($I180,'Konstanten'!$A$6:$A$10,1))),INDEX('Konstanten'!$B$6:$B$10,MATCH($I180,'Konstanten'!$A$6:$A$10,1))),""))</f>
        <v/>
      </c>
      <c r="P180" s="62">
        <f>IF($B180="","",IFERROR(IFERROR(INDEX('Konstanten'!$C$6:$C$10,MATCH($I180,'Konstanten'!$A$6:$A$10,1))+($I180-INDEX('Konstanten'!$A$6:$A$10,MATCH($I180,'Konstanten'!$A$6:$A$10,1)))/(INDEX('Konstanten'!$A$6:$A$10,MATCH($I180,'Konstanten'!$A$6:$A$10,1)+1)-INDEX('Konstanten'!$A$6:$A$10,MATCH($I180,'Konstanten'!$A$6:$A$10,1)))*(INDEX('Konstanten'!$C$6:$C$10,MATCH($I180,'Konstanten'!$A$6:$A$10,1)+1)-INDEX('Konstanten'!$C$6:$C$10,MATCH($I180,'Konstanten'!$A$6:$A$10,1))),INDEX('Konstanten'!$C$6:$C$10,MATCH($I180,'Konstanten'!$A$6:$A$10,1))),""))</f>
        <v/>
      </c>
      <c r="Q180" s="63">
        <f>IF(OR($B180="",$N180="",$O180="",$P180=""),"",'Konstanten'!$C$13*$O180*$P180^(1-($J180/1000)/0.075)*'Konstanten'!$C$14^'Konstanten'!$C$16*'Konstanten'!$C$15^'Konstanten'!$C$17*$N180)</f>
        <v/>
      </c>
      <c r="R180" s="64">
        <f>IF(OR($B180="",$Q180=""),"",$E180+$Q180/'Grundeinstellungen'!$J$6)</f>
        <v/>
      </c>
      <c r="S180" s="64">
        <f>IF($B180="","",IFERROR(VLOOKUP($M180,'Konstanten'!$H$6:$I$13,2,FALSE),29))</f>
        <v/>
      </c>
      <c r="T180" s="65">
        <f>IF(OR($B180="",$Q180=""),"",$Q180*$H180)</f>
        <v/>
      </c>
      <c r="U180" s="66">
        <f>IF(OR($B180="",$T180=""),"",$T180-$F180)</f>
        <v/>
      </c>
      <c r="V180" s="67">
        <f>IF(OR($B180="",$T180=""),"",IFERROR($T180/$F180,""))</f>
        <v/>
      </c>
      <c r="W180" s="65">
        <f>IF(OR($B180="",$H180=""),"",'Grundeinstellungen'!$J$13*$H180)</f>
        <v/>
      </c>
      <c r="X180" s="65">
        <f>IF(OR($B180="",$T180=""),"",MIN($T180,$F180)+$W180)</f>
        <v/>
      </c>
      <c r="Y180" s="68">
        <f>IF($B180="","",IFERROR($H180/($J180/1000),""))</f>
        <v/>
      </c>
      <c r="Z180" s="68">
        <f>IF($B180="","",IFERROR(2*$L180*$K180,""))</f>
        <v/>
      </c>
      <c r="AA180" s="68">
        <f>IF(OR($B180="",$Y180="",$Z180=""),"",$Y180+$Z180)</f>
        <v/>
      </c>
      <c r="AB180" s="68">
        <f>IF(OR($B180="",$AA180=""),"",IFERROR($AA180/$K180,""))</f>
        <v/>
      </c>
      <c r="AC180" s="69">
        <f>IF(OR($B180="",$X180=""),"",IFERROR(($X180/$K180)/('Grundeinstellungen'!$C$16*('Grundeinstellungen'!$C$6-'Grundeinstellungen'!$C$7))*3600,""))</f>
        <v/>
      </c>
      <c r="AD180" s="70">
        <f>IF(OR($B180="",$AC180=""),"",$AC180/'Grundeinstellungen'!$C$15*1000)</f>
        <v/>
      </c>
      <c r="AE180" s="71">
        <f>IF(OR($B180="",$AC180=""),"",IFERROR($AC180/3600/'Grundeinstellungen'!$C$15/'Grundeinstellungen'!$J$22,""))</f>
        <v/>
      </c>
      <c r="AF180" s="72">
        <f>IF(OR($B180="",$AE180=""),"",IFERROR($AE180*'Grundeinstellungen'!$J$21/'Grundeinstellungen'!$C$17,""))</f>
        <v/>
      </c>
      <c r="AG180" s="73">
        <f>IF(OR($B180="",$AF180=""),"",IF($AF180&lt;2300,"laminar",IF($AF180&lt;4000,"Übergangsbereich","turbulent")))</f>
        <v/>
      </c>
      <c r="AH180" s="74">
        <f>IF(OR($B180="",$AF180=""),"",IF($AF180&lt;2300,64/$AF180,0.316/$AF180^0.25))</f>
        <v/>
      </c>
      <c r="AI180" s="75">
        <f>IF(OR($B180="",$AH180="",$AB180=""),"",IFERROR($AH180*($AB180/'Grundeinstellungen'!$J$21)*('Grundeinstellungen'!$C$15/2)*$AE180^2,""))</f>
        <v/>
      </c>
      <c r="AJ180" s="76">
        <f>IF(OR($B180="",$AI180="",$AB180=""),"",IFERROR($AI180/$AB180,""))</f>
        <v/>
      </c>
      <c r="AK180" s="75">
        <f>IF(OR($B180="",$AI180=""),"",$AI180*(1+'Grundeinstellungen'!$C$24)+'Grundeinstellungen'!$C$25)</f>
        <v/>
      </c>
    </row>
    <row r="181">
      <c r="A181" s="51" t="n"/>
      <c r="B181" s="51" t="n"/>
      <c r="C181" s="51" t="n"/>
      <c r="D181" s="52" t="n"/>
      <c r="E181" s="53" t="n"/>
      <c r="F181" s="54" t="n"/>
      <c r="G181" s="55">
        <f>IF($B181="","",IFERROR($F181/$D181,""))</f>
        <v/>
      </c>
      <c r="H181" s="52" t="n"/>
      <c r="I181" s="56" t="n"/>
      <c r="J181" s="57" t="n"/>
      <c r="K181" s="58" t="n"/>
      <c r="L181" s="59" t="n"/>
      <c r="M181" s="60" t="n"/>
      <c r="N181" s="61">
        <f>IF($B181="","",IFERROR(('Grundeinstellungen'!$C$6-'Grundeinstellungen'!$C$7)/LN(('Grundeinstellungen'!$C$6-$E181)/('Grundeinstellungen'!$C$7-$E181)),""))</f>
        <v/>
      </c>
      <c r="O181" s="62">
        <f>IF($B181="","",IFERROR(IFERROR(INDEX('Konstanten'!$B$6:$B$10,MATCH($I181,'Konstanten'!$A$6:$A$10,1))+($I181-INDEX('Konstanten'!$A$6:$A$10,MATCH($I181,'Konstanten'!$A$6:$A$10,1)))/(INDEX('Konstanten'!$A$6:$A$10,MATCH($I181,'Konstanten'!$A$6:$A$10,1)+1)-INDEX('Konstanten'!$A$6:$A$10,MATCH($I181,'Konstanten'!$A$6:$A$10,1)))*(INDEX('Konstanten'!$B$6:$B$10,MATCH($I181,'Konstanten'!$A$6:$A$10,1)+1)-INDEX('Konstanten'!$B$6:$B$10,MATCH($I181,'Konstanten'!$A$6:$A$10,1))),INDEX('Konstanten'!$B$6:$B$10,MATCH($I181,'Konstanten'!$A$6:$A$10,1))),""))</f>
        <v/>
      </c>
      <c r="P181" s="62">
        <f>IF($B181="","",IFERROR(IFERROR(INDEX('Konstanten'!$C$6:$C$10,MATCH($I181,'Konstanten'!$A$6:$A$10,1))+($I181-INDEX('Konstanten'!$A$6:$A$10,MATCH($I181,'Konstanten'!$A$6:$A$10,1)))/(INDEX('Konstanten'!$A$6:$A$10,MATCH($I181,'Konstanten'!$A$6:$A$10,1)+1)-INDEX('Konstanten'!$A$6:$A$10,MATCH($I181,'Konstanten'!$A$6:$A$10,1)))*(INDEX('Konstanten'!$C$6:$C$10,MATCH($I181,'Konstanten'!$A$6:$A$10,1)+1)-INDEX('Konstanten'!$C$6:$C$10,MATCH($I181,'Konstanten'!$A$6:$A$10,1))),INDEX('Konstanten'!$C$6:$C$10,MATCH($I181,'Konstanten'!$A$6:$A$10,1))),""))</f>
        <v/>
      </c>
      <c r="Q181" s="63">
        <f>IF(OR($B181="",$N181="",$O181="",$P181=""),"",'Konstanten'!$C$13*$O181*$P181^(1-($J181/1000)/0.075)*'Konstanten'!$C$14^'Konstanten'!$C$16*'Konstanten'!$C$15^'Konstanten'!$C$17*$N181)</f>
        <v/>
      </c>
      <c r="R181" s="64">
        <f>IF(OR($B181="",$Q181=""),"",$E181+$Q181/'Grundeinstellungen'!$J$6)</f>
        <v/>
      </c>
      <c r="S181" s="64">
        <f>IF($B181="","",IFERROR(VLOOKUP($M181,'Konstanten'!$H$6:$I$13,2,FALSE),29))</f>
        <v/>
      </c>
      <c r="T181" s="65">
        <f>IF(OR($B181="",$Q181=""),"",$Q181*$H181)</f>
        <v/>
      </c>
      <c r="U181" s="66">
        <f>IF(OR($B181="",$T181=""),"",$T181-$F181)</f>
        <v/>
      </c>
      <c r="V181" s="67">
        <f>IF(OR($B181="",$T181=""),"",IFERROR($T181/$F181,""))</f>
        <v/>
      </c>
      <c r="W181" s="65">
        <f>IF(OR($B181="",$H181=""),"",'Grundeinstellungen'!$J$13*$H181)</f>
        <v/>
      </c>
      <c r="X181" s="65">
        <f>IF(OR($B181="",$T181=""),"",MIN($T181,$F181)+$W181)</f>
        <v/>
      </c>
      <c r="Y181" s="68">
        <f>IF($B181="","",IFERROR($H181/($J181/1000),""))</f>
        <v/>
      </c>
      <c r="Z181" s="68">
        <f>IF($B181="","",IFERROR(2*$L181*$K181,""))</f>
        <v/>
      </c>
      <c r="AA181" s="68">
        <f>IF(OR($B181="",$Y181="",$Z181=""),"",$Y181+$Z181)</f>
        <v/>
      </c>
      <c r="AB181" s="68">
        <f>IF(OR($B181="",$AA181=""),"",IFERROR($AA181/$K181,""))</f>
        <v/>
      </c>
      <c r="AC181" s="69">
        <f>IF(OR($B181="",$X181=""),"",IFERROR(($X181/$K181)/('Grundeinstellungen'!$C$16*('Grundeinstellungen'!$C$6-'Grundeinstellungen'!$C$7))*3600,""))</f>
        <v/>
      </c>
      <c r="AD181" s="70">
        <f>IF(OR($B181="",$AC181=""),"",$AC181/'Grundeinstellungen'!$C$15*1000)</f>
        <v/>
      </c>
      <c r="AE181" s="71">
        <f>IF(OR($B181="",$AC181=""),"",IFERROR($AC181/3600/'Grundeinstellungen'!$C$15/'Grundeinstellungen'!$J$22,""))</f>
        <v/>
      </c>
      <c r="AF181" s="72">
        <f>IF(OR($B181="",$AE181=""),"",IFERROR($AE181*'Grundeinstellungen'!$J$21/'Grundeinstellungen'!$C$17,""))</f>
        <v/>
      </c>
      <c r="AG181" s="73">
        <f>IF(OR($B181="",$AF181=""),"",IF($AF181&lt;2300,"laminar",IF($AF181&lt;4000,"Übergangsbereich","turbulent")))</f>
        <v/>
      </c>
      <c r="AH181" s="74">
        <f>IF(OR($B181="",$AF181=""),"",IF($AF181&lt;2300,64/$AF181,0.316/$AF181^0.25))</f>
        <v/>
      </c>
      <c r="AI181" s="75">
        <f>IF(OR($B181="",$AH181="",$AB181=""),"",IFERROR($AH181*($AB181/'Grundeinstellungen'!$J$21)*('Grundeinstellungen'!$C$15/2)*$AE181^2,""))</f>
        <v/>
      </c>
      <c r="AJ181" s="76">
        <f>IF(OR($B181="",$AI181="",$AB181=""),"",IFERROR($AI181/$AB181,""))</f>
        <v/>
      </c>
      <c r="AK181" s="75">
        <f>IF(OR($B181="",$AI181=""),"",$AI181*(1+'Grundeinstellungen'!$C$24)+'Grundeinstellungen'!$C$25)</f>
        <v/>
      </c>
    </row>
    <row r="182">
      <c r="A182" s="51" t="n"/>
      <c r="B182" s="51" t="n"/>
      <c r="C182" s="51" t="n"/>
      <c r="D182" s="52" t="n"/>
      <c r="E182" s="53" t="n"/>
      <c r="F182" s="54" t="n"/>
      <c r="G182" s="55">
        <f>IF($B182="","",IFERROR($F182/$D182,""))</f>
        <v/>
      </c>
      <c r="H182" s="52" t="n"/>
      <c r="I182" s="56" t="n"/>
      <c r="J182" s="57" t="n"/>
      <c r="K182" s="58" t="n"/>
      <c r="L182" s="59" t="n"/>
      <c r="M182" s="60" t="n"/>
      <c r="N182" s="61">
        <f>IF($B182="","",IFERROR(('Grundeinstellungen'!$C$6-'Grundeinstellungen'!$C$7)/LN(('Grundeinstellungen'!$C$6-$E182)/('Grundeinstellungen'!$C$7-$E182)),""))</f>
        <v/>
      </c>
      <c r="O182" s="62">
        <f>IF($B182="","",IFERROR(IFERROR(INDEX('Konstanten'!$B$6:$B$10,MATCH($I182,'Konstanten'!$A$6:$A$10,1))+($I182-INDEX('Konstanten'!$A$6:$A$10,MATCH($I182,'Konstanten'!$A$6:$A$10,1)))/(INDEX('Konstanten'!$A$6:$A$10,MATCH($I182,'Konstanten'!$A$6:$A$10,1)+1)-INDEX('Konstanten'!$A$6:$A$10,MATCH($I182,'Konstanten'!$A$6:$A$10,1)))*(INDEX('Konstanten'!$B$6:$B$10,MATCH($I182,'Konstanten'!$A$6:$A$10,1)+1)-INDEX('Konstanten'!$B$6:$B$10,MATCH($I182,'Konstanten'!$A$6:$A$10,1))),INDEX('Konstanten'!$B$6:$B$10,MATCH($I182,'Konstanten'!$A$6:$A$10,1))),""))</f>
        <v/>
      </c>
      <c r="P182" s="62">
        <f>IF($B182="","",IFERROR(IFERROR(INDEX('Konstanten'!$C$6:$C$10,MATCH($I182,'Konstanten'!$A$6:$A$10,1))+($I182-INDEX('Konstanten'!$A$6:$A$10,MATCH($I182,'Konstanten'!$A$6:$A$10,1)))/(INDEX('Konstanten'!$A$6:$A$10,MATCH($I182,'Konstanten'!$A$6:$A$10,1)+1)-INDEX('Konstanten'!$A$6:$A$10,MATCH($I182,'Konstanten'!$A$6:$A$10,1)))*(INDEX('Konstanten'!$C$6:$C$10,MATCH($I182,'Konstanten'!$A$6:$A$10,1)+1)-INDEX('Konstanten'!$C$6:$C$10,MATCH($I182,'Konstanten'!$A$6:$A$10,1))),INDEX('Konstanten'!$C$6:$C$10,MATCH($I182,'Konstanten'!$A$6:$A$10,1))),""))</f>
        <v/>
      </c>
      <c r="Q182" s="63">
        <f>IF(OR($B182="",$N182="",$O182="",$P182=""),"",'Konstanten'!$C$13*$O182*$P182^(1-($J182/1000)/0.075)*'Konstanten'!$C$14^'Konstanten'!$C$16*'Konstanten'!$C$15^'Konstanten'!$C$17*$N182)</f>
        <v/>
      </c>
      <c r="R182" s="64">
        <f>IF(OR($B182="",$Q182=""),"",$E182+$Q182/'Grundeinstellungen'!$J$6)</f>
        <v/>
      </c>
      <c r="S182" s="64">
        <f>IF($B182="","",IFERROR(VLOOKUP($M182,'Konstanten'!$H$6:$I$13,2,FALSE),29))</f>
        <v/>
      </c>
      <c r="T182" s="65">
        <f>IF(OR($B182="",$Q182=""),"",$Q182*$H182)</f>
        <v/>
      </c>
      <c r="U182" s="66">
        <f>IF(OR($B182="",$T182=""),"",$T182-$F182)</f>
        <v/>
      </c>
      <c r="V182" s="67">
        <f>IF(OR($B182="",$T182=""),"",IFERROR($T182/$F182,""))</f>
        <v/>
      </c>
      <c r="W182" s="65">
        <f>IF(OR($B182="",$H182=""),"",'Grundeinstellungen'!$J$13*$H182)</f>
        <v/>
      </c>
      <c r="X182" s="65">
        <f>IF(OR($B182="",$T182=""),"",MIN($T182,$F182)+$W182)</f>
        <v/>
      </c>
      <c r="Y182" s="68">
        <f>IF($B182="","",IFERROR($H182/($J182/1000),""))</f>
        <v/>
      </c>
      <c r="Z182" s="68">
        <f>IF($B182="","",IFERROR(2*$L182*$K182,""))</f>
        <v/>
      </c>
      <c r="AA182" s="68">
        <f>IF(OR($B182="",$Y182="",$Z182=""),"",$Y182+$Z182)</f>
        <v/>
      </c>
      <c r="AB182" s="68">
        <f>IF(OR($B182="",$AA182=""),"",IFERROR($AA182/$K182,""))</f>
        <v/>
      </c>
      <c r="AC182" s="69">
        <f>IF(OR($B182="",$X182=""),"",IFERROR(($X182/$K182)/('Grundeinstellungen'!$C$16*('Grundeinstellungen'!$C$6-'Grundeinstellungen'!$C$7))*3600,""))</f>
        <v/>
      </c>
      <c r="AD182" s="70">
        <f>IF(OR($B182="",$AC182=""),"",$AC182/'Grundeinstellungen'!$C$15*1000)</f>
        <v/>
      </c>
      <c r="AE182" s="71">
        <f>IF(OR($B182="",$AC182=""),"",IFERROR($AC182/3600/'Grundeinstellungen'!$C$15/'Grundeinstellungen'!$J$22,""))</f>
        <v/>
      </c>
      <c r="AF182" s="72">
        <f>IF(OR($B182="",$AE182=""),"",IFERROR($AE182*'Grundeinstellungen'!$J$21/'Grundeinstellungen'!$C$17,""))</f>
        <v/>
      </c>
      <c r="AG182" s="73">
        <f>IF(OR($B182="",$AF182=""),"",IF($AF182&lt;2300,"laminar",IF($AF182&lt;4000,"Übergangsbereich","turbulent")))</f>
        <v/>
      </c>
      <c r="AH182" s="74">
        <f>IF(OR($B182="",$AF182=""),"",IF($AF182&lt;2300,64/$AF182,0.316/$AF182^0.25))</f>
        <v/>
      </c>
      <c r="AI182" s="75">
        <f>IF(OR($B182="",$AH182="",$AB182=""),"",IFERROR($AH182*($AB182/'Grundeinstellungen'!$J$21)*('Grundeinstellungen'!$C$15/2)*$AE182^2,""))</f>
        <v/>
      </c>
      <c r="AJ182" s="76">
        <f>IF(OR($B182="",$AI182="",$AB182=""),"",IFERROR($AI182/$AB182,""))</f>
        <v/>
      </c>
      <c r="AK182" s="75">
        <f>IF(OR($B182="",$AI182=""),"",$AI182*(1+'Grundeinstellungen'!$C$24)+'Grundeinstellungen'!$C$25)</f>
        <v/>
      </c>
    </row>
    <row r="183">
      <c r="A183" s="51" t="n"/>
      <c r="B183" s="51" t="n"/>
      <c r="C183" s="51" t="n"/>
      <c r="D183" s="52" t="n"/>
      <c r="E183" s="53" t="n"/>
      <c r="F183" s="54" t="n"/>
      <c r="G183" s="55">
        <f>IF($B183="","",IFERROR($F183/$D183,""))</f>
        <v/>
      </c>
      <c r="H183" s="52" t="n"/>
      <c r="I183" s="56" t="n"/>
      <c r="J183" s="57" t="n"/>
      <c r="K183" s="58" t="n"/>
      <c r="L183" s="59" t="n"/>
      <c r="M183" s="60" t="n"/>
      <c r="N183" s="61">
        <f>IF($B183="","",IFERROR(('Grundeinstellungen'!$C$6-'Grundeinstellungen'!$C$7)/LN(('Grundeinstellungen'!$C$6-$E183)/('Grundeinstellungen'!$C$7-$E183)),""))</f>
        <v/>
      </c>
      <c r="O183" s="62">
        <f>IF($B183="","",IFERROR(IFERROR(INDEX('Konstanten'!$B$6:$B$10,MATCH($I183,'Konstanten'!$A$6:$A$10,1))+($I183-INDEX('Konstanten'!$A$6:$A$10,MATCH($I183,'Konstanten'!$A$6:$A$10,1)))/(INDEX('Konstanten'!$A$6:$A$10,MATCH($I183,'Konstanten'!$A$6:$A$10,1)+1)-INDEX('Konstanten'!$A$6:$A$10,MATCH($I183,'Konstanten'!$A$6:$A$10,1)))*(INDEX('Konstanten'!$B$6:$B$10,MATCH($I183,'Konstanten'!$A$6:$A$10,1)+1)-INDEX('Konstanten'!$B$6:$B$10,MATCH($I183,'Konstanten'!$A$6:$A$10,1))),INDEX('Konstanten'!$B$6:$B$10,MATCH($I183,'Konstanten'!$A$6:$A$10,1))),""))</f>
        <v/>
      </c>
      <c r="P183" s="62">
        <f>IF($B183="","",IFERROR(IFERROR(INDEX('Konstanten'!$C$6:$C$10,MATCH($I183,'Konstanten'!$A$6:$A$10,1))+($I183-INDEX('Konstanten'!$A$6:$A$10,MATCH($I183,'Konstanten'!$A$6:$A$10,1)))/(INDEX('Konstanten'!$A$6:$A$10,MATCH($I183,'Konstanten'!$A$6:$A$10,1)+1)-INDEX('Konstanten'!$A$6:$A$10,MATCH($I183,'Konstanten'!$A$6:$A$10,1)))*(INDEX('Konstanten'!$C$6:$C$10,MATCH($I183,'Konstanten'!$A$6:$A$10,1)+1)-INDEX('Konstanten'!$C$6:$C$10,MATCH($I183,'Konstanten'!$A$6:$A$10,1))),INDEX('Konstanten'!$C$6:$C$10,MATCH($I183,'Konstanten'!$A$6:$A$10,1))),""))</f>
        <v/>
      </c>
      <c r="Q183" s="63">
        <f>IF(OR($B183="",$N183="",$O183="",$P183=""),"",'Konstanten'!$C$13*$O183*$P183^(1-($J183/1000)/0.075)*'Konstanten'!$C$14^'Konstanten'!$C$16*'Konstanten'!$C$15^'Konstanten'!$C$17*$N183)</f>
        <v/>
      </c>
      <c r="R183" s="64">
        <f>IF(OR($B183="",$Q183=""),"",$E183+$Q183/'Grundeinstellungen'!$J$6)</f>
        <v/>
      </c>
      <c r="S183" s="64">
        <f>IF($B183="","",IFERROR(VLOOKUP($M183,'Konstanten'!$H$6:$I$13,2,FALSE),29))</f>
        <v/>
      </c>
      <c r="T183" s="65">
        <f>IF(OR($B183="",$Q183=""),"",$Q183*$H183)</f>
        <v/>
      </c>
      <c r="U183" s="66">
        <f>IF(OR($B183="",$T183=""),"",$T183-$F183)</f>
        <v/>
      </c>
      <c r="V183" s="67">
        <f>IF(OR($B183="",$T183=""),"",IFERROR($T183/$F183,""))</f>
        <v/>
      </c>
      <c r="W183" s="65">
        <f>IF(OR($B183="",$H183=""),"",'Grundeinstellungen'!$J$13*$H183)</f>
        <v/>
      </c>
      <c r="X183" s="65">
        <f>IF(OR($B183="",$T183=""),"",MIN($T183,$F183)+$W183)</f>
        <v/>
      </c>
      <c r="Y183" s="68">
        <f>IF($B183="","",IFERROR($H183/($J183/1000),""))</f>
        <v/>
      </c>
      <c r="Z183" s="68">
        <f>IF($B183="","",IFERROR(2*$L183*$K183,""))</f>
        <v/>
      </c>
      <c r="AA183" s="68">
        <f>IF(OR($B183="",$Y183="",$Z183=""),"",$Y183+$Z183)</f>
        <v/>
      </c>
      <c r="AB183" s="68">
        <f>IF(OR($B183="",$AA183=""),"",IFERROR($AA183/$K183,""))</f>
        <v/>
      </c>
      <c r="AC183" s="69">
        <f>IF(OR($B183="",$X183=""),"",IFERROR(($X183/$K183)/('Grundeinstellungen'!$C$16*('Grundeinstellungen'!$C$6-'Grundeinstellungen'!$C$7))*3600,""))</f>
        <v/>
      </c>
      <c r="AD183" s="70">
        <f>IF(OR($B183="",$AC183=""),"",$AC183/'Grundeinstellungen'!$C$15*1000)</f>
        <v/>
      </c>
      <c r="AE183" s="71">
        <f>IF(OR($B183="",$AC183=""),"",IFERROR($AC183/3600/'Grundeinstellungen'!$C$15/'Grundeinstellungen'!$J$22,""))</f>
        <v/>
      </c>
      <c r="AF183" s="72">
        <f>IF(OR($B183="",$AE183=""),"",IFERROR($AE183*'Grundeinstellungen'!$J$21/'Grundeinstellungen'!$C$17,""))</f>
        <v/>
      </c>
      <c r="AG183" s="73">
        <f>IF(OR($B183="",$AF183=""),"",IF($AF183&lt;2300,"laminar",IF($AF183&lt;4000,"Übergangsbereich","turbulent")))</f>
        <v/>
      </c>
      <c r="AH183" s="74">
        <f>IF(OR($B183="",$AF183=""),"",IF($AF183&lt;2300,64/$AF183,0.316/$AF183^0.25))</f>
        <v/>
      </c>
      <c r="AI183" s="75">
        <f>IF(OR($B183="",$AH183="",$AB183=""),"",IFERROR($AH183*($AB183/'Grundeinstellungen'!$J$21)*('Grundeinstellungen'!$C$15/2)*$AE183^2,""))</f>
        <v/>
      </c>
      <c r="AJ183" s="76">
        <f>IF(OR($B183="",$AI183="",$AB183=""),"",IFERROR($AI183/$AB183,""))</f>
        <v/>
      </c>
      <c r="AK183" s="75">
        <f>IF(OR($B183="",$AI183=""),"",$AI183*(1+'Grundeinstellungen'!$C$24)+'Grundeinstellungen'!$C$25)</f>
        <v/>
      </c>
    </row>
    <row r="184">
      <c r="A184" s="51" t="n"/>
      <c r="B184" s="51" t="n"/>
      <c r="C184" s="51" t="n"/>
      <c r="D184" s="52" t="n"/>
      <c r="E184" s="53" t="n"/>
      <c r="F184" s="54" t="n"/>
      <c r="G184" s="55">
        <f>IF($B184="","",IFERROR($F184/$D184,""))</f>
        <v/>
      </c>
      <c r="H184" s="52" t="n"/>
      <c r="I184" s="56" t="n"/>
      <c r="J184" s="57" t="n"/>
      <c r="K184" s="58" t="n"/>
      <c r="L184" s="59" t="n"/>
      <c r="M184" s="60" t="n"/>
      <c r="N184" s="61">
        <f>IF($B184="","",IFERROR(('Grundeinstellungen'!$C$6-'Grundeinstellungen'!$C$7)/LN(('Grundeinstellungen'!$C$6-$E184)/('Grundeinstellungen'!$C$7-$E184)),""))</f>
        <v/>
      </c>
      <c r="O184" s="62">
        <f>IF($B184="","",IFERROR(IFERROR(INDEX('Konstanten'!$B$6:$B$10,MATCH($I184,'Konstanten'!$A$6:$A$10,1))+($I184-INDEX('Konstanten'!$A$6:$A$10,MATCH($I184,'Konstanten'!$A$6:$A$10,1)))/(INDEX('Konstanten'!$A$6:$A$10,MATCH($I184,'Konstanten'!$A$6:$A$10,1)+1)-INDEX('Konstanten'!$A$6:$A$10,MATCH($I184,'Konstanten'!$A$6:$A$10,1)))*(INDEX('Konstanten'!$B$6:$B$10,MATCH($I184,'Konstanten'!$A$6:$A$10,1)+1)-INDEX('Konstanten'!$B$6:$B$10,MATCH($I184,'Konstanten'!$A$6:$A$10,1))),INDEX('Konstanten'!$B$6:$B$10,MATCH($I184,'Konstanten'!$A$6:$A$10,1))),""))</f>
        <v/>
      </c>
      <c r="P184" s="62">
        <f>IF($B184="","",IFERROR(IFERROR(INDEX('Konstanten'!$C$6:$C$10,MATCH($I184,'Konstanten'!$A$6:$A$10,1))+($I184-INDEX('Konstanten'!$A$6:$A$10,MATCH($I184,'Konstanten'!$A$6:$A$10,1)))/(INDEX('Konstanten'!$A$6:$A$10,MATCH($I184,'Konstanten'!$A$6:$A$10,1)+1)-INDEX('Konstanten'!$A$6:$A$10,MATCH($I184,'Konstanten'!$A$6:$A$10,1)))*(INDEX('Konstanten'!$C$6:$C$10,MATCH($I184,'Konstanten'!$A$6:$A$10,1)+1)-INDEX('Konstanten'!$C$6:$C$10,MATCH($I184,'Konstanten'!$A$6:$A$10,1))),INDEX('Konstanten'!$C$6:$C$10,MATCH($I184,'Konstanten'!$A$6:$A$10,1))),""))</f>
        <v/>
      </c>
      <c r="Q184" s="63">
        <f>IF(OR($B184="",$N184="",$O184="",$P184=""),"",'Konstanten'!$C$13*$O184*$P184^(1-($J184/1000)/0.075)*'Konstanten'!$C$14^'Konstanten'!$C$16*'Konstanten'!$C$15^'Konstanten'!$C$17*$N184)</f>
        <v/>
      </c>
      <c r="R184" s="64">
        <f>IF(OR($B184="",$Q184=""),"",$E184+$Q184/'Grundeinstellungen'!$J$6)</f>
        <v/>
      </c>
      <c r="S184" s="64">
        <f>IF($B184="","",IFERROR(VLOOKUP($M184,'Konstanten'!$H$6:$I$13,2,FALSE),29))</f>
        <v/>
      </c>
      <c r="T184" s="65">
        <f>IF(OR($B184="",$Q184=""),"",$Q184*$H184)</f>
        <v/>
      </c>
      <c r="U184" s="66">
        <f>IF(OR($B184="",$T184=""),"",$T184-$F184)</f>
        <v/>
      </c>
      <c r="V184" s="67">
        <f>IF(OR($B184="",$T184=""),"",IFERROR($T184/$F184,""))</f>
        <v/>
      </c>
      <c r="W184" s="65">
        <f>IF(OR($B184="",$H184=""),"",'Grundeinstellungen'!$J$13*$H184)</f>
        <v/>
      </c>
      <c r="X184" s="65">
        <f>IF(OR($B184="",$T184=""),"",MIN($T184,$F184)+$W184)</f>
        <v/>
      </c>
      <c r="Y184" s="68">
        <f>IF($B184="","",IFERROR($H184/($J184/1000),""))</f>
        <v/>
      </c>
      <c r="Z184" s="68">
        <f>IF($B184="","",IFERROR(2*$L184*$K184,""))</f>
        <v/>
      </c>
      <c r="AA184" s="68">
        <f>IF(OR($B184="",$Y184="",$Z184=""),"",$Y184+$Z184)</f>
        <v/>
      </c>
      <c r="AB184" s="68">
        <f>IF(OR($B184="",$AA184=""),"",IFERROR($AA184/$K184,""))</f>
        <v/>
      </c>
      <c r="AC184" s="69">
        <f>IF(OR($B184="",$X184=""),"",IFERROR(($X184/$K184)/('Grundeinstellungen'!$C$16*('Grundeinstellungen'!$C$6-'Grundeinstellungen'!$C$7))*3600,""))</f>
        <v/>
      </c>
      <c r="AD184" s="70">
        <f>IF(OR($B184="",$AC184=""),"",$AC184/'Grundeinstellungen'!$C$15*1000)</f>
        <v/>
      </c>
      <c r="AE184" s="71">
        <f>IF(OR($B184="",$AC184=""),"",IFERROR($AC184/3600/'Grundeinstellungen'!$C$15/'Grundeinstellungen'!$J$22,""))</f>
        <v/>
      </c>
      <c r="AF184" s="72">
        <f>IF(OR($B184="",$AE184=""),"",IFERROR($AE184*'Grundeinstellungen'!$J$21/'Grundeinstellungen'!$C$17,""))</f>
        <v/>
      </c>
      <c r="AG184" s="73">
        <f>IF(OR($B184="",$AF184=""),"",IF($AF184&lt;2300,"laminar",IF($AF184&lt;4000,"Übergangsbereich","turbulent")))</f>
        <v/>
      </c>
      <c r="AH184" s="74">
        <f>IF(OR($B184="",$AF184=""),"",IF($AF184&lt;2300,64/$AF184,0.316/$AF184^0.25))</f>
        <v/>
      </c>
      <c r="AI184" s="75">
        <f>IF(OR($B184="",$AH184="",$AB184=""),"",IFERROR($AH184*($AB184/'Grundeinstellungen'!$J$21)*('Grundeinstellungen'!$C$15/2)*$AE184^2,""))</f>
        <v/>
      </c>
      <c r="AJ184" s="76">
        <f>IF(OR($B184="",$AI184="",$AB184=""),"",IFERROR($AI184/$AB184,""))</f>
        <v/>
      </c>
      <c r="AK184" s="75">
        <f>IF(OR($B184="",$AI184=""),"",$AI184*(1+'Grundeinstellungen'!$C$24)+'Grundeinstellungen'!$C$25)</f>
        <v/>
      </c>
    </row>
    <row r="185">
      <c r="A185" s="51" t="n"/>
      <c r="B185" s="51" t="n"/>
      <c r="C185" s="51" t="n"/>
      <c r="D185" s="52" t="n"/>
      <c r="E185" s="53" t="n"/>
      <c r="F185" s="54" t="n"/>
      <c r="G185" s="55">
        <f>IF($B185="","",IFERROR($F185/$D185,""))</f>
        <v/>
      </c>
      <c r="H185" s="52" t="n"/>
      <c r="I185" s="56" t="n"/>
      <c r="J185" s="57" t="n"/>
      <c r="K185" s="58" t="n"/>
      <c r="L185" s="59" t="n"/>
      <c r="M185" s="60" t="n"/>
      <c r="N185" s="61">
        <f>IF($B185="","",IFERROR(('Grundeinstellungen'!$C$6-'Grundeinstellungen'!$C$7)/LN(('Grundeinstellungen'!$C$6-$E185)/('Grundeinstellungen'!$C$7-$E185)),""))</f>
        <v/>
      </c>
      <c r="O185" s="62">
        <f>IF($B185="","",IFERROR(IFERROR(INDEX('Konstanten'!$B$6:$B$10,MATCH($I185,'Konstanten'!$A$6:$A$10,1))+($I185-INDEX('Konstanten'!$A$6:$A$10,MATCH($I185,'Konstanten'!$A$6:$A$10,1)))/(INDEX('Konstanten'!$A$6:$A$10,MATCH($I185,'Konstanten'!$A$6:$A$10,1)+1)-INDEX('Konstanten'!$A$6:$A$10,MATCH($I185,'Konstanten'!$A$6:$A$10,1)))*(INDEX('Konstanten'!$B$6:$B$10,MATCH($I185,'Konstanten'!$A$6:$A$10,1)+1)-INDEX('Konstanten'!$B$6:$B$10,MATCH($I185,'Konstanten'!$A$6:$A$10,1))),INDEX('Konstanten'!$B$6:$B$10,MATCH($I185,'Konstanten'!$A$6:$A$10,1))),""))</f>
        <v/>
      </c>
      <c r="P185" s="62">
        <f>IF($B185="","",IFERROR(IFERROR(INDEX('Konstanten'!$C$6:$C$10,MATCH($I185,'Konstanten'!$A$6:$A$10,1))+($I185-INDEX('Konstanten'!$A$6:$A$10,MATCH($I185,'Konstanten'!$A$6:$A$10,1)))/(INDEX('Konstanten'!$A$6:$A$10,MATCH($I185,'Konstanten'!$A$6:$A$10,1)+1)-INDEX('Konstanten'!$A$6:$A$10,MATCH($I185,'Konstanten'!$A$6:$A$10,1)))*(INDEX('Konstanten'!$C$6:$C$10,MATCH($I185,'Konstanten'!$A$6:$A$10,1)+1)-INDEX('Konstanten'!$C$6:$C$10,MATCH($I185,'Konstanten'!$A$6:$A$10,1))),INDEX('Konstanten'!$C$6:$C$10,MATCH($I185,'Konstanten'!$A$6:$A$10,1))),""))</f>
        <v/>
      </c>
      <c r="Q185" s="63">
        <f>IF(OR($B185="",$N185="",$O185="",$P185=""),"",'Konstanten'!$C$13*$O185*$P185^(1-($J185/1000)/0.075)*'Konstanten'!$C$14^'Konstanten'!$C$16*'Konstanten'!$C$15^'Konstanten'!$C$17*$N185)</f>
        <v/>
      </c>
      <c r="R185" s="64">
        <f>IF(OR($B185="",$Q185=""),"",$E185+$Q185/'Grundeinstellungen'!$J$6)</f>
        <v/>
      </c>
      <c r="S185" s="64">
        <f>IF($B185="","",IFERROR(VLOOKUP($M185,'Konstanten'!$H$6:$I$13,2,FALSE),29))</f>
        <v/>
      </c>
      <c r="T185" s="65">
        <f>IF(OR($B185="",$Q185=""),"",$Q185*$H185)</f>
        <v/>
      </c>
      <c r="U185" s="66">
        <f>IF(OR($B185="",$T185=""),"",$T185-$F185)</f>
        <v/>
      </c>
      <c r="V185" s="67">
        <f>IF(OR($B185="",$T185=""),"",IFERROR($T185/$F185,""))</f>
        <v/>
      </c>
      <c r="W185" s="65">
        <f>IF(OR($B185="",$H185=""),"",'Grundeinstellungen'!$J$13*$H185)</f>
        <v/>
      </c>
      <c r="X185" s="65">
        <f>IF(OR($B185="",$T185=""),"",MIN($T185,$F185)+$W185)</f>
        <v/>
      </c>
      <c r="Y185" s="68">
        <f>IF($B185="","",IFERROR($H185/($J185/1000),""))</f>
        <v/>
      </c>
      <c r="Z185" s="68">
        <f>IF($B185="","",IFERROR(2*$L185*$K185,""))</f>
        <v/>
      </c>
      <c r="AA185" s="68">
        <f>IF(OR($B185="",$Y185="",$Z185=""),"",$Y185+$Z185)</f>
        <v/>
      </c>
      <c r="AB185" s="68">
        <f>IF(OR($B185="",$AA185=""),"",IFERROR($AA185/$K185,""))</f>
        <v/>
      </c>
      <c r="AC185" s="69">
        <f>IF(OR($B185="",$X185=""),"",IFERROR(($X185/$K185)/('Grundeinstellungen'!$C$16*('Grundeinstellungen'!$C$6-'Grundeinstellungen'!$C$7))*3600,""))</f>
        <v/>
      </c>
      <c r="AD185" s="70">
        <f>IF(OR($B185="",$AC185=""),"",$AC185/'Grundeinstellungen'!$C$15*1000)</f>
        <v/>
      </c>
      <c r="AE185" s="71">
        <f>IF(OR($B185="",$AC185=""),"",IFERROR($AC185/3600/'Grundeinstellungen'!$C$15/'Grundeinstellungen'!$J$22,""))</f>
        <v/>
      </c>
      <c r="AF185" s="72">
        <f>IF(OR($B185="",$AE185=""),"",IFERROR($AE185*'Grundeinstellungen'!$J$21/'Grundeinstellungen'!$C$17,""))</f>
        <v/>
      </c>
      <c r="AG185" s="73">
        <f>IF(OR($B185="",$AF185=""),"",IF($AF185&lt;2300,"laminar",IF($AF185&lt;4000,"Übergangsbereich","turbulent")))</f>
        <v/>
      </c>
      <c r="AH185" s="74">
        <f>IF(OR($B185="",$AF185=""),"",IF($AF185&lt;2300,64/$AF185,0.316/$AF185^0.25))</f>
        <v/>
      </c>
      <c r="AI185" s="75">
        <f>IF(OR($B185="",$AH185="",$AB185=""),"",IFERROR($AH185*($AB185/'Grundeinstellungen'!$J$21)*('Grundeinstellungen'!$C$15/2)*$AE185^2,""))</f>
        <v/>
      </c>
      <c r="AJ185" s="76">
        <f>IF(OR($B185="",$AI185="",$AB185=""),"",IFERROR($AI185/$AB185,""))</f>
        <v/>
      </c>
      <c r="AK185" s="75">
        <f>IF(OR($B185="",$AI185=""),"",$AI185*(1+'Grundeinstellungen'!$C$24)+'Grundeinstellungen'!$C$25)</f>
        <v/>
      </c>
    </row>
    <row r="186">
      <c r="A186" s="51" t="n"/>
      <c r="B186" s="51" t="n"/>
      <c r="C186" s="51" t="n"/>
      <c r="D186" s="52" t="n"/>
      <c r="E186" s="53" t="n"/>
      <c r="F186" s="54" t="n"/>
      <c r="G186" s="55">
        <f>IF($B186="","",IFERROR($F186/$D186,""))</f>
        <v/>
      </c>
      <c r="H186" s="52" t="n"/>
      <c r="I186" s="56" t="n"/>
      <c r="J186" s="57" t="n"/>
      <c r="K186" s="58" t="n"/>
      <c r="L186" s="59" t="n"/>
      <c r="M186" s="60" t="n"/>
      <c r="N186" s="61">
        <f>IF($B186="","",IFERROR(('Grundeinstellungen'!$C$6-'Grundeinstellungen'!$C$7)/LN(('Grundeinstellungen'!$C$6-$E186)/('Grundeinstellungen'!$C$7-$E186)),""))</f>
        <v/>
      </c>
      <c r="O186" s="62">
        <f>IF($B186="","",IFERROR(IFERROR(INDEX('Konstanten'!$B$6:$B$10,MATCH($I186,'Konstanten'!$A$6:$A$10,1))+($I186-INDEX('Konstanten'!$A$6:$A$10,MATCH($I186,'Konstanten'!$A$6:$A$10,1)))/(INDEX('Konstanten'!$A$6:$A$10,MATCH($I186,'Konstanten'!$A$6:$A$10,1)+1)-INDEX('Konstanten'!$A$6:$A$10,MATCH($I186,'Konstanten'!$A$6:$A$10,1)))*(INDEX('Konstanten'!$B$6:$B$10,MATCH($I186,'Konstanten'!$A$6:$A$10,1)+1)-INDEX('Konstanten'!$B$6:$B$10,MATCH($I186,'Konstanten'!$A$6:$A$10,1))),INDEX('Konstanten'!$B$6:$B$10,MATCH($I186,'Konstanten'!$A$6:$A$10,1))),""))</f>
        <v/>
      </c>
      <c r="P186" s="62">
        <f>IF($B186="","",IFERROR(IFERROR(INDEX('Konstanten'!$C$6:$C$10,MATCH($I186,'Konstanten'!$A$6:$A$10,1))+($I186-INDEX('Konstanten'!$A$6:$A$10,MATCH($I186,'Konstanten'!$A$6:$A$10,1)))/(INDEX('Konstanten'!$A$6:$A$10,MATCH($I186,'Konstanten'!$A$6:$A$10,1)+1)-INDEX('Konstanten'!$A$6:$A$10,MATCH($I186,'Konstanten'!$A$6:$A$10,1)))*(INDEX('Konstanten'!$C$6:$C$10,MATCH($I186,'Konstanten'!$A$6:$A$10,1)+1)-INDEX('Konstanten'!$C$6:$C$10,MATCH($I186,'Konstanten'!$A$6:$A$10,1))),INDEX('Konstanten'!$C$6:$C$10,MATCH($I186,'Konstanten'!$A$6:$A$10,1))),""))</f>
        <v/>
      </c>
      <c r="Q186" s="63">
        <f>IF(OR($B186="",$N186="",$O186="",$P186=""),"",'Konstanten'!$C$13*$O186*$P186^(1-($J186/1000)/0.075)*'Konstanten'!$C$14^'Konstanten'!$C$16*'Konstanten'!$C$15^'Konstanten'!$C$17*$N186)</f>
        <v/>
      </c>
      <c r="R186" s="64">
        <f>IF(OR($B186="",$Q186=""),"",$E186+$Q186/'Grundeinstellungen'!$J$6)</f>
        <v/>
      </c>
      <c r="S186" s="64">
        <f>IF($B186="","",IFERROR(VLOOKUP($M186,'Konstanten'!$H$6:$I$13,2,FALSE),29))</f>
        <v/>
      </c>
      <c r="T186" s="65">
        <f>IF(OR($B186="",$Q186=""),"",$Q186*$H186)</f>
        <v/>
      </c>
      <c r="U186" s="66">
        <f>IF(OR($B186="",$T186=""),"",$T186-$F186)</f>
        <v/>
      </c>
      <c r="V186" s="67">
        <f>IF(OR($B186="",$T186=""),"",IFERROR($T186/$F186,""))</f>
        <v/>
      </c>
      <c r="W186" s="65">
        <f>IF(OR($B186="",$H186=""),"",'Grundeinstellungen'!$J$13*$H186)</f>
        <v/>
      </c>
      <c r="X186" s="65">
        <f>IF(OR($B186="",$T186=""),"",MIN($T186,$F186)+$W186)</f>
        <v/>
      </c>
      <c r="Y186" s="68">
        <f>IF($B186="","",IFERROR($H186/($J186/1000),""))</f>
        <v/>
      </c>
      <c r="Z186" s="68">
        <f>IF($B186="","",IFERROR(2*$L186*$K186,""))</f>
        <v/>
      </c>
      <c r="AA186" s="68">
        <f>IF(OR($B186="",$Y186="",$Z186=""),"",$Y186+$Z186)</f>
        <v/>
      </c>
      <c r="AB186" s="68">
        <f>IF(OR($B186="",$AA186=""),"",IFERROR($AA186/$K186,""))</f>
        <v/>
      </c>
      <c r="AC186" s="69">
        <f>IF(OR($B186="",$X186=""),"",IFERROR(($X186/$K186)/('Grundeinstellungen'!$C$16*('Grundeinstellungen'!$C$6-'Grundeinstellungen'!$C$7))*3600,""))</f>
        <v/>
      </c>
      <c r="AD186" s="70">
        <f>IF(OR($B186="",$AC186=""),"",$AC186/'Grundeinstellungen'!$C$15*1000)</f>
        <v/>
      </c>
      <c r="AE186" s="71">
        <f>IF(OR($B186="",$AC186=""),"",IFERROR($AC186/3600/'Grundeinstellungen'!$C$15/'Grundeinstellungen'!$J$22,""))</f>
        <v/>
      </c>
      <c r="AF186" s="72">
        <f>IF(OR($B186="",$AE186=""),"",IFERROR($AE186*'Grundeinstellungen'!$J$21/'Grundeinstellungen'!$C$17,""))</f>
        <v/>
      </c>
      <c r="AG186" s="73">
        <f>IF(OR($B186="",$AF186=""),"",IF($AF186&lt;2300,"laminar",IF($AF186&lt;4000,"Übergangsbereich","turbulent")))</f>
        <v/>
      </c>
      <c r="AH186" s="74">
        <f>IF(OR($B186="",$AF186=""),"",IF($AF186&lt;2300,64/$AF186,0.316/$AF186^0.25))</f>
        <v/>
      </c>
      <c r="AI186" s="75">
        <f>IF(OR($B186="",$AH186="",$AB186=""),"",IFERROR($AH186*($AB186/'Grundeinstellungen'!$J$21)*('Grundeinstellungen'!$C$15/2)*$AE186^2,""))</f>
        <v/>
      </c>
      <c r="AJ186" s="76">
        <f>IF(OR($B186="",$AI186="",$AB186=""),"",IFERROR($AI186/$AB186,""))</f>
        <v/>
      </c>
      <c r="AK186" s="75">
        <f>IF(OR($B186="",$AI186=""),"",$AI186*(1+'Grundeinstellungen'!$C$24)+'Grundeinstellungen'!$C$25)</f>
        <v/>
      </c>
    </row>
    <row r="187">
      <c r="A187" s="51" t="n"/>
      <c r="B187" s="51" t="n"/>
      <c r="C187" s="51" t="n"/>
      <c r="D187" s="52" t="n"/>
      <c r="E187" s="53" t="n"/>
      <c r="F187" s="54" t="n"/>
      <c r="G187" s="55">
        <f>IF($B187="","",IFERROR($F187/$D187,""))</f>
        <v/>
      </c>
      <c r="H187" s="52" t="n"/>
      <c r="I187" s="56" t="n"/>
      <c r="J187" s="57" t="n"/>
      <c r="K187" s="58" t="n"/>
      <c r="L187" s="59" t="n"/>
      <c r="M187" s="60" t="n"/>
      <c r="N187" s="61">
        <f>IF($B187="","",IFERROR(('Grundeinstellungen'!$C$6-'Grundeinstellungen'!$C$7)/LN(('Grundeinstellungen'!$C$6-$E187)/('Grundeinstellungen'!$C$7-$E187)),""))</f>
        <v/>
      </c>
      <c r="O187" s="62">
        <f>IF($B187="","",IFERROR(IFERROR(INDEX('Konstanten'!$B$6:$B$10,MATCH($I187,'Konstanten'!$A$6:$A$10,1))+($I187-INDEX('Konstanten'!$A$6:$A$10,MATCH($I187,'Konstanten'!$A$6:$A$10,1)))/(INDEX('Konstanten'!$A$6:$A$10,MATCH($I187,'Konstanten'!$A$6:$A$10,1)+1)-INDEX('Konstanten'!$A$6:$A$10,MATCH($I187,'Konstanten'!$A$6:$A$10,1)))*(INDEX('Konstanten'!$B$6:$B$10,MATCH($I187,'Konstanten'!$A$6:$A$10,1)+1)-INDEX('Konstanten'!$B$6:$B$10,MATCH($I187,'Konstanten'!$A$6:$A$10,1))),INDEX('Konstanten'!$B$6:$B$10,MATCH($I187,'Konstanten'!$A$6:$A$10,1))),""))</f>
        <v/>
      </c>
      <c r="P187" s="62">
        <f>IF($B187="","",IFERROR(IFERROR(INDEX('Konstanten'!$C$6:$C$10,MATCH($I187,'Konstanten'!$A$6:$A$10,1))+($I187-INDEX('Konstanten'!$A$6:$A$10,MATCH($I187,'Konstanten'!$A$6:$A$10,1)))/(INDEX('Konstanten'!$A$6:$A$10,MATCH($I187,'Konstanten'!$A$6:$A$10,1)+1)-INDEX('Konstanten'!$A$6:$A$10,MATCH($I187,'Konstanten'!$A$6:$A$10,1)))*(INDEX('Konstanten'!$C$6:$C$10,MATCH($I187,'Konstanten'!$A$6:$A$10,1)+1)-INDEX('Konstanten'!$C$6:$C$10,MATCH($I187,'Konstanten'!$A$6:$A$10,1))),INDEX('Konstanten'!$C$6:$C$10,MATCH($I187,'Konstanten'!$A$6:$A$10,1))),""))</f>
        <v/>
      </c>
      <c r="Q187" s="63">
        <f>IF(OR($B187="",$N187="",$O187="",$P187=""),"",'Konstanten'!$C$13*$O187*$P187^(1-($J187/1000)/0.075)*'Konstanten'!$C$14^'Konstanten'!$C$16*'Konstanten'!$C$15^'Konstanten'!$C$17*$N187)</f>
        <v/>
      </c>
      <c r="R187" s="64">
        <f>IF(OR($B187="",$Q187=""),"",$E187+$Q187/'Grundeinstellungen'!$J$6)</f>
        <v/>
      </c>
      <c r="S187" s="64">
        <f>IF($B187="","",IFERROR(VLOOKUP($M187,'Konstanten'!$H$6:$I$13,2,FALSE),29))</f>
        <v/>
      </c>
      <c r="T187" s="65">
        <f>IF(OR($B187="",$Q187=""),"",$Q187*$H187)</f>
        <v/>
      </c>
      <c r="U187" s="66">
        <f>IF(OR($B187="",$T187=""),"",$T187-$F187)</f>
        <v/>
      </c>
      <c r="V187" s="67">
        <f>IF(OR($B187="",$T187=""),"",IFERROR($T187/$F187,""))</f>
        <v/>
      </c>
      <c r="W187" s="65">
        <f>IF(OR($B187="",$H187=""),"",'Grundeinstellungen'!$J$13*$H187)</f>
        <v/>
      </c>
      <c r="X187" s="65">
        <f>IF(OR($B187="",$T187=""),"",MIN($T187,$F187)+$W187)</f>
        <v/>
      </c>
      <c r="Y187" s="68">
        <f>IF($B187="","",IFERROR($H187/($J187/1000),""))</f>
        <v/>
      </c>
      <c r="Z187" s="68">
        <f>IF($B187="","",IFERROR(2*$L187*$K187,""))</f>
        <v/>
      </c>
      <c r="AA187" s="68">
        <f>IF(OR($B187="",$Y187="",$Z187=""),"",$Y187+$Z187)</f>
        <v/>
      </c>
      <c r="AB187" s="68">
        <f>IF(OR($B187="",$AA187=""),"",IFERROR($AA187/$K187,""))</f>
        <v/>
      </c>
      <c r="AC187" s="69">
        <f>IF(OR($B187="",$X187=""),"",IFERROR(($X187/$K187)/('Grundeinstellungen'!$C$16*('Grundeinstellungen'!$C$6-'Grundeinstellungen'!$C$7))*3600,""))</f>
        <v/>
      </c>
      <c r="AD187" s="70">
        <f>IF(OR($B187="",$AC187=""),"",$AC187/'Grundeinstellungen'!$C$15*1000)</f>
        <v/>
      </c>
      <c r="AE187" s="71">
        <f>IF(OR($B187="",$AC187=""),"",IFERROR($AC187/3600/'Grundeinstellungen'!$C$15/'Grundeinstellungen'!$J$22,""))</f>
        <v/>
      </c>
      <c r="AF187" s="72">
        <f>IF(OR($B187="",$AE187=""),"",IFERROR($AE187*'Grundeinstellungen'!$J$21/'Grundeinstellungen'!$C$17,""))</f>
        <v/>
      </c>
      <c r="AG187" s="73">
        <f>IF(OR($B187="",$AF187=""),"",IF($AF187&lt;2300,"laminar",IF($AF187&lt;4000,"Übergangsbereich","turbulent")))</f>
        <v/>
      </c>
      <c r="AH187" s="74">
        <f>IF(OR($B187="",$AF187=""),"",IF($AF187&lt;2300,64/$AF187,0.316/$AF187^0.25))</f>
        <v/>
      </c>
      <c r="AI187" s="75">
        <f>IF(OR($B187="",$AH187="",$AB187=""),"",IFERROR($AH187*($AB187/'Grundeinstellungen'!$J$21)*('Grundeinstellungen'!$C$15/2)*$AE187^2,""))</f>
        <v/>
      </c>
      <c r="AJ187" s="76">
        <f>IF(OR($B187="",$AI187="",$AB187=""),"",IFERROR($AI187/$AB187,""))</f>
        <v/>
      </c>
      <c r="AK187" s="75">
        <f>IF(OR($B187="",$AI187=""),"",$AI187*(1+'Grundeinstellungen'!$C$24)+'Grundeinstellungen'!$C$25)</f>
        <v/>
      </c>
    </row>
    <row r="188">
      <c r="A188" s="51" t="n"/>
      <c r="B188" s="51" t="n"/>
      <c r="C188" s="51" t="n"/>
      <c r="D188" s="52" t="n"/>
      <c r="E188" s="53" t="n"/>
      <c r="F188" s="54" t="n"/>
      <c r="G188" s="55">
        <f>IF($B188="","",IFERROR($F188/$D188,""))</f>
        <v/>
      </c>
      <c r="H188" s="52" t="n"/>
      <c r="I188" s="56" t="n"/>
      <c r="J188" s="57" t="n"/>
      <c r="K188" s="58" t="n"/>
      <c r="L188" s="59" t="n"/>
      <c r="M188" s="60" t="n"/>
      <c r="N188" s="61">
        <f>IF($B188="","",IFERROR(('Grundeinstellungen'!$C$6-'Grundeinstellungen'!$C$7)/LN(('Grundeinstellungen'!$C$6-$E188)/('Grundeinstellungen'!$C$7-$E188)),""))</f>
        <v/>
      </c>
      <c r="O188" s="62">
        <f>IF($B188="","",IFERROR(IFERROR(INDEX('Konstanten'!$B$6:$B$10,MATCH($I188,'Konstanten'!$A$6:$A$10,1))+($I188-INDEX('Konstanten'!$A$6:$A$10,MATCH($I188,'Konstanten'!$A$6:$A$10,1)))/(INDEX('Konstanten'!$A$6:$A$10,MATCH($I188,'Konstanten'!$A$6:$A$10,1)+1)-INDEX('Konstanten'!$A$6:$A$10,MATCH($I188,'Konstanten'!$A$6:$A$10,1)))*(INDEX('Konstanten'!$B$6:$B$10,MATCH($I188,'Konstanten'!$A$6:$A$10,1)+1)-INDEX('Konstanten'!$B$6:$B$10,MATCH($I188,'Konstanten'!$A$6:$A$10,1))),INDEX('Konstanten'!$B$6:$B$10,MATCH($I188,'Konstanten'!$A$6:$A$10,1))),""))</f>
        <v/>
      </c>
      <c r="P188" s="62">
        <f>IF($B188="","",IFERROR(IFERROR(INDEX('Konstanten'!$C$6:$C$10,MATCH($I188,'Konstanten'!$A$6:$A$10,1))+($I188-INDEX('Konstanten'!$A$6:$A$10,MATCH($I188,'Konstanten'!$A$6:$A$10,1)))/(INDEX('Konstanten'!$A$6:$A$10,MATCH($I188,'Konstanten'!$A$6:$A$10,1)+1)-INDEX('Konstanten'!$A$6:$A$10,MATCH($I188,'Konstanten'!$A$6:$A$10,1)))*(INDEX('Konstanten'!$C$6:$C$10,MATCH($I188,'Konstanten'!$A$6:$A$10,1)+1)-INDEX('Konstanten'!$C$6:$C$10,MATCH($I188,'Konstanten'!$A$6:$A$10,1))),INDEX('Konstanten'!$C$6:$C$10,MATCH($I188,'Konstanten'!$A$6:$A$10,1))),""))</f>
        <v/>
      </c>
      <c r="Q188" s="63">
        <f>IF(OR($B188="",$N188="",$O188="",$P188=""),"",'Konstanten'!$C$13*$O188*$P188^(1-($J188/1000)/0.075)*'Konstanten'!$C$14^'Konstanten'!$C$16*'Konstanten'!$C$15^'Konstanten'!$C$17*$N188)</f>
        <v/>
      </c>
      <c r="R188" s="64">
        <f>IF(OR($B188="",$Q188=""),"",$E188+$Q188/'Grundeinstellungen'!$J$6)</f>
        <v/>
      </c>
      <c r="S188" s="64">
        <f>IF($B188="","",IFERROR(VLOOKUP($M188,'Konstanten'!$H$6:$I$13,2,FALSE),29))</f>
        <v/>
      </c>
      <c r="T188" s="65">
        <f>IF(OR($B188="",$Q188=""),"",$Q188*$H188)</f>
        <v/>
      </c>
      <c r="U188" s="66">
        <f>IF(OR($B188="",$T188=""),"",$T188-$F188)</f>
        <v/>
      </c>
      <c r="V188" s="67">
        <f>IF(OR($B188="",$T188=""),"",IFERROR($T188/$F188,""))</f>
        <v/>
      </c>
      <c r="W188" s="65">
        <f>IF(OR($B188="",$H188=""),"",'Grundeinstellungen'!$J$13*$H188)</f>
        <v/>
      </c>
      <c r="X188" s="65">
        <f>IF(OR($B188="",$T188=""),"",MIN($T188,$F188)+$W188)</f>
        <v/>
      </c>
      <c r="Y188" s="68">
        <f>IF($B188="","",IFERROR($H188/($J188/1000),""))</f>
        <v/>
      </c>
      <c r="Z188" s="68">
        <f>IF($B188="","",IFERROR(2*$L188*$K188,""))</f>
        <v/>
      </c>
      <c r="AA188" s="68">
        <f>IF(OR($B188="",$Y188="",$Z188=""),"",$Y188+$Z188)</f>
        <v/>
      </c>
      <c r="AB188" s="68">
        <f>IF(OR($B188="",$AA188=""),"",IFERROR($AA188/$K188,""))</f>
        <v/>
      </c>
      <c r="AC188" s="69">
        <f>IF(OR($B188="",$X188=""),"",IFERROR(($X188/$K188)/('Grundeinstellungen'!$C$16*('Grundeinstellungen'!$C$6-'Grundeinstellungen'!$C$7))*3600,""))</f>
        <v/>
      </c>
      <c r="AD188" s="70">
        <f>IF(OR($B188="",$AC188=""),"",$AC188/'Grundeinstellungen'!$C$15*1000)</f>
        <v/>
      </c>
      <c r="AE188" s="71">
        <f>IF(OR($B188="",$AC188=""),"",IFERROR($AC188/3600/'Grundeinstellungen'!$C$15/'Grundeinstellungen'!$J$22,""))</f>
        <v/>
      </c>
      <c r="AF188" s="72">
        <f>IF(OR($B188="",$AE188=""),"",IFERROR($AE188*'Grundeinstellungen'!$J$21/'Grundeinstellungen'!$C$17,""))</f>
        <v/>
      </c>
      <c r="AG188" s="73">
        <f>IF(OR($B188="",$AF188=""),"",IF($AF188&lt;2300,"laminar",IF($AF188&lt;4000,"Übergangsbereich","turbulent")))</f>
        <v/>
      </c>
      <c r="AH188" s="74">
        <f>IF(OR($B188="",$AF188=""),"",IF($AF188&lt;2300,64/$AF188,0.316/$AF188^0.25))</f>
        <v/>
      </c>
      <c r="AI188" s="75">
        <f>IF(OR($B188="",$AH188="",$AB188=""),"",IFERROR($AH188*($AB188/'Grundeinstellungen'!$J$21)*('Grundeinstellungen'!$C$15/2)*$AE188^2,""))</f>
        <v/>
      </c>
      <c r="AJ188" s="76">
        <f>IF(OR($B188="",$AI188="",$AB188=""),"",IFERROR($AI188/$AB188,""))</f>
        <v/>
      </c>
      <c r="AK188" s="75">
        <f>IF(OR($B188="",$AI188=""),"",$AI188*(1+'Grundeinstellungen'!$C$24)+'Grundeinstellungen'!$C$25)</f>
        <v/>
      </c>
    </row>
    <row r="189">
      <c r="A189" s="51" t="n"/>
      <c r="B189" s="51" t="n"/>
      <c r="C189" s="51" t="n"/>
      <c r="D189" s="52" t="n"/>
      <c r="E189" s="53" t="n"/>
      <c r="F189" s="54" t="n"/>
      <c r="G189" s="55">
        <f>IF($B189="","",IFERROR($F189/$D189,""))</f>
        <v/>
      </c>
      <c r="H189" s="52" t="n"/>
      <c r="I189" s="56" t="n"/>
      <c r="J189" s="57" t="n"/>
      <c r="K189" s="58" t="n"/>
      <c r="L189" s="59" t="n"/>
      <c r="M189" s="60" t="n"/>
      <c r="N189" s="61">
        <f>IF($B189="","",IFERROR(('Grundeinstellungen'!$C$6-'Grundeinstellungen'!$C$7)/LN(('Grundeinstellungen'!$C$6-$E189)/('Grundeinstellungen'!$C$7-$E189)),""))</f>
        <v/>
      </c>
      <c r="O189" s="62">
        <f>IF($B189="","",IFERROR(IFERROR(INDEX('Konstanten'!$B$6:$B$10,MATCH($I189,'Konstanten'!$A$6:$A$10,1))+($I189-INDEX('Konstanten'!$A$6:$A$10,MATCH($I189,'Konstanten'!$A$6:$A$10,1)))/(INDEX('Konstanten'!$A$6:$A$10,MATCH($I189,'Konstanten'!$A$6:$A$10,1)+1)-INDEX('Konstanten'!$A$6:$A$10,MATCH($I189,'Konstanten'!$A$6:$A$10,1)))*(INDEX('Konstanten'!$B$6:$B$10,MATCH($I189,'Konstanten'!$A$6:$A$10,1)+1)-INDEX('Konstanten'!$B$6:$B$10,MATCH($I189,'Konstanten'!$A$6:$A$10,1))),INDEX('Konstanten'!$B$6:$B$10,MATCH($I189,'Konstanten'!$A$6:$A$10,1))),""))</f>
        <v/>
      </c>
      <c r="P189" s="62">
        <f>IF($B189="","",IFERROR(IFERROR(INDEX('Konstanten'!$C$6:$C$10,MATCH($I189,'Konstanten'!$A$6:$A$10,1))+($I189-INDEX('Konstanten'!$A$6:$A$10,MATCH($I189,'Konstanten'!$A$6:$A$10,1)))/(INDEX('Konstanten'!$A$6:$A$10,MATCH($I189,'Konstanten'!$A$6:$A$10,1)+1)-INDEX('Konstanten'!$A$6:$A$10,MATCH($I189,'Konstanten'!$A$6:$A$10,1)))*(INDEX('Konstanten'!$C$6:$C$10,MATCH($I189,'Konstanten'!$A$6:$A$10,1)+1)-INDEX('Konstanten'!$C$6:$C$10,MATCH($I189,'Konstanten'!$A$6:$A$10,1))),INDEX('Konstanten'!$C$6:$C$10,MATCH($I189,'Konstanten'!$A$6:$A$10,1))),""))</f>
        <v/>
      </c>
      <c r="Q189" s="63">
        <f>IF(OR($B189="",$N189="",$O189="",$P189=""),"",'Konstanten'!$C$13*$O189*$P189^(1-($J189/1000)/0.075)*'Konstanten'!$C$14^'Konstanten'!$C$16*'Konstanten'!$C$15^'Konstanten'!$C$17*$N189)</f>
        <v/>
      </c>
      <c r="R189" s="64">
        <f>IF(OR($B189="",$Q189=""),"",$E189+$Q189/'Grundeinstellungen'!$J$6)</f>
        <v/>
      </c>
      <c r="S189" s="64">
        <f>IF($B189="","",IFERROR(VLOOKUP($M189,'Konstanten'!$H$6:$I$13,2,FALSE),29))</f>
        <v/>
      </c>
      <c r="T189" s="65">
        <f>IF(OR($B189="",$Q189=""),"",$Q189*$H189)</f>
        <v/>
      </c>
      <c r="U189" s="66">
        <f>IF(OR($B189="",$T189=""),"",$T189-$F189)</f>
        <v/>
      </c>
      <c r="V189" s="67">
        <f>IF(OR($B189="",$T189=""),"",IFERROR($T189/$F189,""))</f>
        <v/>
      </c>
      <c r="W189" s="65">
        <f>IF(OR($B189="",$H189=""),"",'Grundeinstellungen'!$J$13*$H189)</f>
        <v/>
      </c>
      <c r="X189" s="65">
        <f>IF(OR($B189="",$T189=""),"",MIN($T189,$F189)+$W189)</f>
        <v/>
      </c>
      <c r="Y189" s="68">
        <f>IF($B189="","",IFERROR($H189/($J189/1000),""))</f>
        <v/>
      </c>
      <c r="Z189" s="68">
        <f>IF($B189="","",IFERROR(2*$L189*$K189,""))</f>
        <v/>
      </c>
      <c r="AA189" s="68">
        <f>IF(OR($B189="",$Y189="",$Z189=""),"",$Y189+$Z189)</f>
        <v/>
      </c>
      <c r="AB189" s="68">
        <f>IF(OR($B189="",$AA189=""),"",IFERROR($AA189/$K189,""))</f>
        <v/>
      </c>
      <c r="AC189" s="69">
        <f>IF(OR($B189="",$X189=""),"",IFERROR(($X189/$K189)/('Grundeinstellungen'!$C$16*('Grundeinstellungen'!$C$6-'Grundeinstellungen'!$C$7))*3600,""))</f>
        <v/>
      </c>
      <c r="AD189" s="70">
        <f>IF(OR($B189="",$AC189=""),"",$AC189/'Grundeinstellungen'!$C$15*1000)</f>
        <v/>
      </c>
      <c r="AE189" s="71">
        <f>IF(OR($B189="",$AC189=""),"",IFERROR($AC189/3600/'Grundeinstellungen'!$C$15/'Grundeinstellungen'!$J$22,""))</f>
        <v/>
      </c>
      <c r="AF189" s="72">
        <f>IF(OR($B189="",$AE189=""),"",IFERROR($AE189*'Grundeinstellungen'!$J$21/'Grundeinstellungen'!$C$17,""))</f>
        <v/>
      </c>
      <c r="AG189" s="73">
        <f>IF(OR($B189="",$AF189=""),"",IF($AF189&lt;2300,"laminar",IF($AF189&lt;4000,"Übergangsbereich","turbulent")))</f>
        <v/>
      </c>
      <c r="AH189" s="74">
        <f>IF(OR($B189="",$AF189=""),"",IF($AF189&lt;2300,64/$AF189,0.316/$AF189^0.25))</f>
        <v/>
      </c>
      <c r="AI189" s="75">
        <f>IF(OR($B189="",$AH189="",$AB189=""),"",IFERROR($AH189*($AB189/'Grundeinstellungen'!$J$21)*('Grundeinstellungen'!$C$15/2)*$AE189^2,""))</f>
        <v/>
      </c>
      <c r="AJ189" s="76">
        <f>IF(OR($B189="",$AI189="",$AB189=""),"",IFERROR($AI189/$AB189,""))</f>
        <v/>
      </c>
      <c r="AK189" s="75">
        <f>IF(OR($B189="",$AI189=""),"",$AI189*(1+'Grundeinstellungen'!$C$24)+'Grundeinstellungen'!$C$25)</f>
        <v/>
      </c>
    </row>
    <row r="190">
      <c r="A190" s="51" t="n"/>
      <c r="B190" s="51" t="n"/>
      <c r="C190" s="51" t="n"/>
      <c r="D190" s="52" t="n"/>
      <c r="E190" s="53" t="n"/>
      <c r="F190" s="54" t="n"/>
      <c r="G190" s="55">
        <f>IF($B190="","",IFERROR($F190/$D190,""))</f>
        <v/>
      </c>
      <c r="H190" s="52" t="n"/>
      <c r="I190" s="56" t="n"/>
      <c r="J190" s="57" t="n"/>
      <c r="K190" s="58" t="n"/>
      <c r="L190" s="59" t="n"/>
      <c r="M190" s="60" t="n"/>
      <c r="N190" s="61">
        <f>IF($B190="","",IFERROR(('Grundeinstellungen'!$C$6-'Grundeinstellungen'!$C$7)/LN(('Grundeinstellungen'!$C$6-$E190)/('Grundeinstellungen'!$C$7-$E190)),""))</f>
        <v/>
      </c>
      <c r="O190" s="62">
        <f>IF($B190="","",IFERROR(IFERROR(INDEX('Konstanten'!$B$6:$B$10,MATCH($I190,'Konstanten'!$A$6:$A$10,1))+($I190-INDEX('Konstanten'!$A$6:$A$10,MATCH($I190,'Konstanten'!$A$6:$A$10,1)))/(INDEX('Konstanten'!$A$6:$A$10,MATCH($I190,'Konstanten'!$A$6:$A$10,1)+1)-INDEX('Konstanten'!$A$6:$A$10,MATCH($I190,'Konstanten'!$A$6:$A$10,1)))*(INDEX('Konstanten'!$B$6:$B$10,MATCH($I190,'Konstanten'!$A$6:$A$10,1)+1)-INDEX('Konstanten'!$B$6:$B$10,MATCH($I190,'Konstanten'!$A$6:$A$10,1))),INDEX('Konstanten'!$B$6:$B$10,MATCH($I190,'Konstanten'!$A$6:$A$10,1))),""))</f>
        <v/>
      </c>
      <c r="P190" s="62">
        <f>IF($B190="","",IFERROR(IFERROR(INDEX('Konstanten'!$C$6:$C$10,MATCH($I190,'Konstanten'!$A$6:$A$10,1))+($I190-INDEX('Konstanten'!$A$6:$A$10,MATCH($I190,'Konstanten'!$A$6:$A$10,1)))/(INDEX('Konstanten'!$A$6:$A$10,MATCH($I190,'Konstanten'!$A$6:$A$10,1)+1)-INDEX('Konstanten'!$A$6:$A$10,MATCH($I190,'Konstanten'!$A$6:$A$10,1)))*(INDEX('Konstanten'!$C$6:$C$10,MATCH($I190,'Konstanten'!$A$6:$A$10,1)+1)-INDEX('Konstanten'!$C$6:$C$10,MATCH($I190,'Konstanten'!$A$6:$A$10,1))),INDEX('Konstanten'!$C$6:$C$10,MATCH($I190,'Konstanten'!$A$6:$A$10,1))),""))</f>
        <v/>
      </c>
      <c r="Q190" s="63">
        <f>IF(OR($B190="",$N190="",$O190="",$P190=""),"",'Konstanten'!$C$13*$O190*$P190^(1-($J190/1000)/0.075)*'Konstanten'!$C$14^'Konstanten'!$C$16*'Konstanten'!$C$15^'Konstanten'!$C$17*$N190)</f>
        <v/>
      </c>
      <c r="R190" s="64">
        <f>IF(OR($B190="",$Q190=""),"",$E190+$Q190/'Grundeinstellungen'!$J$6)</f>
        <v/>
      </c>
      <c r="S190" s="64">
        <f>IF($B190="","",IFERROR(VLOOKUP($M190,'Konstanten'!$H$6:$I$13,2,FALSE),29))</f>
        <v/>
      </c>
      <c r="T190" s="65">
        <f>IF(OR($B190="",$Q190=""),"",$Q190*$H190)</f>
        <v/>
      </c>
      <c r="U190" s="66">
        <f>IF(OR($B190="",$T190=""),"",$T190-$F190)</f>
        <v/>
      </c>
      <c r="V190" s="67">
        <f>IF(OR($B190="",$T190=""),"",IFERROR($T190/$F190,""))</f>
        <v/>
      </c>
      <c r="W190" s="65">
        <f>IF(OR($B190="",$H190=""),"",'Grundeinstellungen'!$J$13*$H190)</f>
        <v/>
      </c>
      <c r="X190" s="65">
        <f>IF(OR($B190="",$T190=""),"",MIN($T190,$F190)+$W190)</f>
        <v/>
      </c>
      <c r="Y190" s="68">
        <f>IF($B190="","",IFERROR($H190/($J190/1000),""))</f>
        <v/>
      </c>
      <c r="Z190" s="68">
        <f>IF($B190="","",IFERROR(2*$L190*$K190,""))</f>
        <v/>
      </c>
      <c r="AA190" s="68">
        <f>IF(OR($B190="",$Y190="",$Z190=""),"",$Y190+$Z190)</f>
        <v/>
      </c>
      <c r="AB190" s="68">
        <f>IF(OR($B190="",$AA190=""),"",IFERROR($AA190/$K190,""))</f>
        <v/>
      </c>
      <c r="AC190" s="69">
        <f>IF(OR($B190="",$X190=""),"",IFERROR(($X190/$K190)/('Grundeinstellungen'!$C$16*('Grundeinstellungen'!$C$6-'Grundeinstellungen'!$C$7))*3600,""))</f>
        <v/>
      </c>
      <c r="AD190" s="70">
        <f>IF(OR($B190="",$AC190=""),"",$AC190/'Grundeinstellungen'!$C$15*1000)</f>
        <v/>
      </c>
      <c r="AE190" s="71">
        <f>IF(OR($B190="",$AC190=""),"",IFERROR($AC190/3600/'Grundeinstellungen'!$C$15/'Grundeinstellungen'!$J$22,""))</f>
        <v/>
      </c>
      <c r="AF190" s="72">
        <f>IF(OR($B190="",$AE190=""),"",IFERROR($AE190*'Grundeinstellungen'!$J$21/'Grundeinstellungen'!$C$17,""))</f>
        <v/>
      </c>
      <c r="AG190" s="73">
        <f>IF(OR($B190="",$AF190=""),"",IF($AF190&lt;2300,"laminar",IF($AF190&lt;4000,"Übergangsbereich","turbulent")))</f>
        <v/>
      </c>
      <c r="AH190" s="74">
        <f>IF(OR($B190="",$AF190=""),"",IF($AF190&lt;2300,64/$AF190,0.316/$AF190^0.25))</f>
        <v/>
      </c>
      <c r="AI190" s="75">
        <f>IF(OR($B190="",$AH190="",$AB190=""),"",IFERROR($AH190*($AB190/'Grundeinstellungen'!$J$21)*('Grundeinstellungen'!$C$15/2)*$AE190^2,""))</f>
        <v/>
      </c>
      <c r="AJ190" s="76">
        <f>IF(OR($B190="",$AI190="",$AB190=""),"",IFERROR($AI190/$AB190,""))</f>
        <v/>
      </c>
      <c r="AK190" s="75">
        <f>IF(OR($B190="",$AI190=""),"",$AI190*(1+'Grundeinstellungen'!$C$24)+'Grundeinstellungen'!$C$25)</f>
        <v/>
      </c>
    </row>
    <row r="191">
      <c r="A191" s="51" t="n"/>
      <c r="B191" s="51" t="n"/>
      <c r="C191" s="51" t="n"/>
      <c r="D191" s="52" t="n"/>
      <c r="E191" s="53" t="n"/>
      <c r="F191" s="54" t="n"/>
      <c r="G191" s="55">
        <f>IF($B191="","",IFERROR($F191/$D191,""))</f>
        <v/>
      </c>
      <c r="H191" s="52" t="n"/>
      <c r="I191" s="56" t="n"/>
      <c r="J191" s="57" t="n"/>
      <c r="K191" s="58" t="n"/>
      <c r="L191" s="59" t="n"/>
      <c r="M191" s="60" t="n"/>
      <c r="N191" s="61">
        <f>IF($B191="","",IFERROR(('Grundeinstellungen'!$C$6-'Grundeinstellungen'!$C$7)/LN(('Grundeinstellungen'!$C$6-$E191)/('Grundeinstellungen'!$C$7-$E191)),""))</f>
        <v/>
      </c>
      <c r="O191" s="62">
        <f>IF($B191="","",IFERROR(IFERROR(INDEX('Konstanten'!$B$6:$B$10,MATCH($I191,'Konstanten'!$A$6:$A$10,1))+($I191-INDEX('Konstanten'!$A$6:$A$10,MATCH($I191,'Konstanten'!$A$6:$A$10,1)))/(INDEX('Konstanten'!$A$6:$A$10,MATCH($I191,'Konstanten'!$A$6:$A$10,1)+1)-INDEX('Konstanten'!$A$6:$A$10,MATCH($I191,'Konstanten'!$A$6:$A$10,1)))*(INDEX('Konstanten'!$B$6:$B$10,MATCH($I191,'Konstanten'!$A$6:$A$10,1)+1)-INDEX('Konstanten'!$B$6:$B$10,MATCH($I191,'Konstanten'!$A$6:$A$10,1))),INDEX('Konstanten'!$B$6:$B$10,MATCH($I191,'Konstanten'!$A$6:$A$10,1))),""))</f>
        <v/>
      </c>
      <c r="P191" s="62">
        <f>IF($B191="","",IFERROR(IFERROR(INDEX('Konstanten'!$C$6:$C$10,MATCH($I191,'Konstanten'!$A$6:$A$10,1))+($I191-INDEX('Konstanten'!$A$6:$A$10,MATCH($I191,'Konstanten'!$A$6:$A$10,1)))/(INDEX('Konstanten'!$A$6:$A$10,MATCH($I191,'Konstanten'!$A$6:$A$10,1)+1)-INDEX('Konstanten'!$A$6:$A$10,MATCH($I191,'Konstanten'!$A$6:$A$10,1)))*(INDEX('Konstanten'!$C$6:$C$10,MATCH($I191,'Konstanten'!$A$6:$A$10,1)+1)-INDEX('Konstanten'!$C$6:$C$10,MATCH($I191,'Konstanten'!$A$6:$A$10,1))),INDEX('Konstanten'!$C$6:$C$10,MATCH($I191,'Konstanten'!$A$6:$A$10,1))),""))</f>
        <v/>
      </c>
      <c r="Q191" s="63">
        <f>IF(OR($B191="",$N191="",$O191="",$P191=""),"",'Konstanten'!$C$13*$O191*$P191^(1-($J191/1000)/0.075)*'Konstanten'!$C$14^'Konstanten'!$C$16*'Konstanten'!$C$15^'Konstanten'!$C$17*$N191)</f>
        <v/>
      </c>
      <c r="R191" s="64">
        <f>IF(OR($B191="",$Q191=""),"",$E191+$Q191/'Grundeinstellungen'!$J$6)</f>
        <v/>
      </c>
      <c r="S191" s="64">
        <f>IF($B191="","",IFERROR(VLOOKUP($M191,'Konstanten'!$H$6:$I$13,2,FALSE),29))</f>
        <v/>
      </c>
      <c r="T191" s="65">
        <f>IF(OR($B191="",$Q191=""),"",$Q191*$H191)</f>
        <v/>
      </c>
      <c r="U191" s="66">
        <f>IF(OR($B191="",$T191=""),"",$T191-$F191)</f>
        <v/>
      </c>
      <c r="V191" s="67">
        <f>IF(OR($B191="",$T191=""),"",IFERROR($T191/$F191,""))</f>
        <v/>
      </c>
      <c r="W191" s="65">
        <f>IF(OR($B191="",$H191=""),"",'Grundeinstellungen'!$J$13*$H191)</f>
        <v/>
      </c>
      <c r="X191" s="65">
        <f>IF(OR($B191="",$T191=""),"",MIN($T191,$F191)+$W191)</f>
        <v/>
      </c>
      <c r="Y191" s="68">
        <f>IF($B191="","",IFERROR($H191/($J191/1000),""))</f>
        <v/>
      </c>
      <c r="Z191" s="68">
        <f>IF($B191="","",IFERROR(2*$L191*$K191,""))</f>
        <v/>
      </c>
      <c r="AA191" s="68">
        <f>IF(OR($B191="",$Y191="",$Z191=""),"",$Y191+$Z191)</f>
        <v/>
      </c>
      <c r="AB191" s="68">
        <f>IF(OR($B191="",$AA191=""),"",IFERROR($AA191/$K191,""))</f>
        <v/>
      </c>
      <c r="AC191" s="69">
        <f>IF(OR($B191="",$X191=""),"",IFERROR(($X191/$K191)/('Grundeinstellungen'!$C$16*('Grundeinstellungen'!$C$6-'Grundeinstellungen'!$C$7))*3600,""))</f>
        <v/>
      </c>
      <c r="AD191" s="70">
        <f>IF(OR($B191="",$AC191=""),"",$AC191/'Grundeinstellungen'!$C$15*1000)</f>
        <v/>
      </c>
      <c r="AE191" s="71">
        <f>IF(OR($B191="",$AC191=""),"",IFERROR($AC191/3600/'Grundeinstellungen'!$C$15/'Grundeinstellungen'!$J$22,""))</f>
        <v/>
      </c>
      <c r="AF191" s="72">
        <f>IF(OR($B191="",$AE191=""),"",IFERROR($AE191*'Grundeinstellungen'!$J$21/'Grundeinstellungen'!$C$17,""))</f>
        <v/>
      </c>
      <c r="AG191" s="73">
        <f>IF(OR($B191="",$AF191=""),"",IF($AF191&lt;2300,"laminar",IF($AF191&lt;4000,"Übergangsbereich","turbulent")))</f>
        <v/>
      </c>
      <c r="AH191" s="74">
        <f>IF(OR($B191="",$AF191=""),"",IF($AF191&lt;2300,64/$AF191,0.316/$AF191^0.25))</f>
        <v/>
      </c>
      <c r="AI191" s="75">
        <f>IF(OR($B191="",$AH191="",$AB191=""),"",IFERROR($AH191*($AB191/'Grundeinstellungen'!$J$21)*('Grundeinstellungen'!$C$15/2)*$AE191^2,""))</f>
        <v/>
      </c>
      <c r="AJ191" s="76">
        <f>IF(OR($B191="",$AI191="",$AB191=""),"",IFERROR($AI191/$AB191,""))</f>
        <v/>
      </c>
      <c r="AK191" s="75">
        <f>IF(OR($B191="",$AI191=""),"",$AI191*(1+'Grundeinstellungen'!$C$24)+'Grundeinstellungen'!$C$25)</f>
        <v/>
      </c>
    </row>
    <row r="192">
      <c r="A192" s="51" t="n"/>
      <c r="B192" s="51" t="n"/>
      <c r="C192" s="51" t="n"/>
      <c r="D192" s="52" t="n"/>
      <c r="E192" s="53" t="n"/>
      <c r="F192" s="54" t="n"/>
      <c r="G192" s="55">
        <f>IF($B192="","",IFERROR($F192/$D192,""))</f>
        <v/>
      </c>
      <c r="H192" s="52" t="n"/>
      <c r="I192" s="56" t="n"/>
      <c r="J192" s="57" t="n"/>
      <c r="K192" s="58" t="n"/>
      <c r="L192" s="59" t="n"/>
      <c r="M192" s="60" t="n"/>
      <c r="N192" s="61">
        <f>IF($B192="","",IFERROR(('Grundeinstellungen'!$C$6-'Grundeinstellungen'!$C$7)/LN(('Grundeinstellungen'!$C$6-$E192)/('Grundeinstellungen'!$C$7-$E192)),""))</f>
        <v/>
      </c>
      <c r="O192" s="62">
        <f>IF($B192="","",IFERROR(IFERROR(INDEX('Konstanten'!$B$6:$B$10,MATCH($I192,'Konstanten'!$A$6:$A$10,1))+($I192-INDEX('Konstanten'!$A$6:$A$10,MATCH($I192,'Konstanten'!$A$6:$A$10,1)))/(INDEX('Konstanten'!$A$6:$A$10,MATCH($I192,'Konstanten'!$A$6:$A$10,1)+1)-INDEX('Konstanten'!$A$6:$A$10,MATCH($I192,'Konstanten'!$A$6:$A$10,1)))*(INDEX('Konstanten'!$B$6:$B$10,MATCH($I192,'Konstanten'!$A$6:$A$10,1)+1)-INDEX('Konstanten'!$B$6:$B$10,MATCH($I192,'Konstanten'!$A$6:$A$10,1))),INDEX('Konstanten'!$B$6:$B$10,MATCH($I192,'Konstanten'!$A$6:$A$10,1))),""))</f>
        <v/>
      </c>
      <c r="P192" s="62">
        <f>IF($B192="","",IFERROR(IFERROR(INDEX('Konstanten'!$C$6:$C$10,MATCH($I192,'Konstanten'!$A$6:$A$10,1))+($I192-INDEX('Konstanten'!$A$6:$A$10,MATCH($I192,'Konstanten'!$A$6:$A$10,1)))/(INDEX('Konstanten'!$A$6:$A$10,MATCH($I192,'Konstanten'!$A$6:$A$10,1)+1)-INDEX('Konstanten'!$A$6:$A$10,MATCH($I192,'Konstanten'!$A$6:$A$10,1)))*(INDEX('Konstanten'!$C$6:$C$10,MATCH($I192,'Konstanten'!$A$6:$A$10,1)+1)-INDEX('Konstanten'!$C$6:$C$10,MATCH($I192,'Konstanten'!$A$6:$A$10,1))),INDEX('Konstanten'!$C$6:$C$10,MATCH($I192,'Konstanten'!$A$6:$A$10,1))),""))</f>
        <v/>
      </c>
      <c r="Q192" s="63">
        <f>IF(OR($B192="",$N192="",$O192="",$P192=""),"",'Konstanten'!$C$13*$O192*$P192^(1-($J192/1000)/0.075)*'Konstanten'!$C$14^'Konstanten'!$C$16*'Konstanten'!$C$15^'Konstanten'!$C$17*$N192)</f>
        <v/>
      </c>
      <c r="R192" s="64">
        <f>IF(OR($B192="",$Q192=""),"",$E192+$Q192/'Grundeinstellungen'!$J$6)</f>
        <v/>
      </c>
      <c r="S192" s="64">
        <f>IF($B192="","",IFERROR(VLOOKUP($M192,'Konstanten'!$H$6:$I$13,2,FALSE),29))</f>
        <v/>
      </c>
      <c r="T192" s="65">
        <f>IF(OR($B192="",$Q192=""),"",$Q192*$H192)</f>
        <v/>
      </c>
      <c r="U192" s="66">
        <f>IF(OR($B192="",$T192=""),"",$T192-$F192)</f>
        <v/>
      </c>
      <c r="V192" s="67">
        <f>IF(OR($B192="",$T192=""),"",IFERROR($T192/$F192,""))</f>
        <v/>
      </c>
      <c r="W192" s="65">
        <f>IF(OR($B192="",$H192=""),"",'Grundeinstellungen'!$J$13*$H192)</f>
        <v/>
      </c>
      <c r="X192" s="65">
        <f>IF(OR($B192="",$T192=""),"",MIN($T192,$F192)+$W192)</f>
        <v/>
      </c>
      <c r="Y192" s="68">
        <f>IF($B192="","",IFERROR($H192/($J192/1000),""))</f>
        <v/>
      </c>
      <c r="Z192" s="68">
        <f>IF($B192="","",IFERROR(2*$L192*$K192,""))</f>
        <v/>
      </c>
      <c r="AA192" s="68">
        <f>IF(OR($B192="",$Y192="",$Z192=""),"",$Y192+$Z192)</f>
        <v/>
      </c>
      <c r="AB192" s="68">
        <f>IF(OR($B192="",$AA192=""),"",IFERROR($AA192/$K192,""))</f>
        <v/>
      </c>
      <c r="AC192" s="69">
        <f>IF(OR($B192="",$X192=""),"",IFERROR(($X192/$K192)/('Grundeinstellungen'!$C$16*('Grundeinstellungen'!$C$6-'Grundeinstellungen'!$C$7))*3600,""))</f>
        <v/>
      </c>
      <c r="AD192" s="70">
        <f>IF(OR($B192="",$AC192=""),"",$AC192/'Grundeinstellungen'!$C$15*1000)</f>
        <v/>
      </c>
      <c r="AE192" s="71">
        <f>IF(OR($B192="",$AC192=""),"",IFERROR($AC192/3600/'Grundeinstellungen'!$C$15/'Grundeinstellungen'!$J$22,""))</f>
        <v/>
      </c>
      <c r="AF192" s="72">
        <f>IF(OR($B192="",$AE192=""),"",IFERROR($AE192*'Grundeinstellungen'!$J$21/'Grundeinstellungen'!$C$17,""))</f>
        <v/>
      </c>
      <c r="AG192" s="73">
        <f>IF(OR($B192="",$AF192=""),"",IF($AF192&lt;2300,"laminar",IF($AF192&lt;4000,"Übergangsbereich","turbulent")))</f>
        <v/>
      </c>
      <c r="AH192" s="74">
        <f>IF(OR($B192="",$AF192=""),"",IF($AF192&lt;2300,64/$AF192,0.316/$AF192^0.25))</f>
        <v/>
      </c>
      <c r="AI192" s="75">
        <f>IF(OR($B192="",$AH192="",$AB192=""),"",IFERROR($AH192*($AB192/'Grundeinstellungen'!$J$21)*('Grundeinstellungen'!$C$15/2)*$AE192^2,""))</f>
        <v/>
      </c>
      <c r="AJ192" s="76">
        <f>IF(OR($B192="",$AI192="",$AB192=""),"",IFERROR($AI192/$AB192,""))</f>
        <v/>
      </c>
      <c r="AK192" s="75">
        <f>IF(OR($B192="",$AI192=""),"",$AI192*(1+'Grundeinstellungen'!$C$24)+'Grundeinstellungen'!$C$25)</f>
        <v/>
      </c>
    </row>
    <row r="193">
      <c r="A193" s="51" t="n"/>
      <c r="B193" s="51" t="n"/>
      <c r="C193" s="51" t="n"/>
      <c r="D193" s="52" t="n"/>
      <c r="E193" s="53" t="n"/>
      <c r="F193" s="54" t="n"/>
      <c r="G193" s="55">
        <f>IF($B193="","",IFERROR($F193/$D193,""))</f>
        <v/>
      </c>
      <c r="H193" s="52" t="n"/>
      <c r="I193" s="56" t="n"/>
      <c r="J193" s="57" t="n"/>
      <c r="K193" s="58" t="n"/>
      <c r="L193" s="59" t="n"/>
      <c r="M193" s="60" t="n"/>
      <c r="N193" s="61">
        <f>IF($B193="","",IFERROR(('Grundeinstellungen'!$C$6-'Grundeinstellungen'!$C$7)/LN(('Grundeinstellungen'!$C$6-$E193)/('Grundeinstellungen'!$C$7-$E193)),""))</f>
        <v/>
      </c>
      <c r="O193" s="62">
        <f>IF($B193="","",IFERROR(IFERROR(INDEX('Konstanten'!$B$6:$B$10,MATCH($I193,'Konstanten'!$A$6:$A$10,1))+($I193-INDEX('Konstanten'!$A$6:$A$10,MATCH($I193,'Konstanten'!$A$6:$A$10,1)))/(INDEX('Konstanten'!$A$6:$A$10,MATCH($I193,'Konstanten'!$A$6:$A$10,1)+1)-INDEX('Konstanten'!$A$6:$A$10,MATCH($I193,'Konstanten'!$A$6:$A$10,1)))*(INDEX('Konstanten'!$B$6:$B$10,MATCH($I193,'Konstanten'!$A$6:$A$10,1)+1)-INDEX('Konstanten'!$B$6:$B$10,MATCH($I193,'Konstanten'!$A$6:$A$10,1))),INDEX('Konstanten'!$B$6:$B$10,MATCH($I193,'Konstanten'!$A$6:$A$10,1))),""))</f>
        <v/>
      </c>
      <c r="P193" s="62">
        <f>IF($B193="","",IFERROR(IFERROR(INDEX('Konstanten'!$C$6:$C$10,MATCH($I193,'Konstanten'!$A$6:$A$10,1))+($I193-INDEX('Konstanten'!$A$6:$A$10,MATCH($I193,'Konstanten'!$A$6:$A$10,1)))/(INDEX('Konstanten'!$A$6:$A$10,MATCH($I193,'Konstanten'!$A$6:$A$10,1)+1)-INDEX('Konstanten'!$A$6:$A$10,MATCH($I193,'Konstanten'!$A$6:$A$10,1)))*(INDEX('Konstanten'!$C$6:$C$10,MATCH($I193,'Konstanten'!$A$6:$A$10,1)+1)-INDEX('Konstanten'!$C$6:$C$10,MATCH($I193,'Konstanten'!$A$6:$A$10,1))),INDEX('Konstanten'!$C$6:$C$10,MATCH($I193,'Konstanten'!$A$6:$A$10,1))),""))</f>
        <v/>
      </c>
      <c r="Q193" s="63">
        <f>IF(OR($B193="",$N193="",$O193="",$P193=""),"",'Konstanten'!$C$13*$O193*$P193^(1-($J193/1000)/0.075)*'Konstanten'!$C$14^'Konstanten'!$C$16*'Konstanten'!$C$15^'Konstanten'!$C$17*$N193)</f>
        <v/>
      </c>
      <c r="R193" s="64">
        <f>IF(OR($B193="",$Q193=""),"",$E193+$Q193/'Grundeinstellungen'!$J$6)</f>
        <v/>
      </c>
      <c r="S193" s="64">
        <f>IF($B193="","",IFERROR(VLOOKUP($M193,'Konstanten'!$H$6:$I$13,2,FALSE),29))</f>
        <v/>
      </c>
      <c r="T193" s="65">
        <f>IF(OR($B193="",$Q193=""),"",$Q193*$H193)</f>
        <v/>
      </c>
      <c r="U193" s="66">
        <f>IF(OR($B193="",$T193=""),"",$T193-$F193)</f>
        <v/>
      </c>
      <c r="V193" s="67">
        <f>IF(OR($B193="",$T193=""),"",IFERROR($T193/$F193,""))</f>
        <v/>
      </c>
      <c r="W193" s="65">
        <f>IF(OR($B193="",$H193=""),"",'Grundeinstellungen'!$J$13*$H193)</f>
        <v/>
      </c>
      <c r="X193" s="65">
        <f>IF(OR($B193="",$T193=""),"",MIN($T193,$F193)+$W193)</f>
        <v/>
      </c>
      <c r="Y193" s="68">
        <f>IF($B193="","",IFERROR($H193/($J193/1000),""))</f>
        <v/>
      </c>
      <c r="Z193" s="68">
        <f>IF($B193="","",IFERROR(2*$L193*$K193,""))</f>
        <v/>
      </c>
      <c r="AA193" s="68">
        <f>IF(OR($B193="",$Y193="",$Z193=""),"",$Y193+$Z193)</f>
        <v/>
      </c>
      <c r="AB193" s="68">
        <f>IF(OR($B193="",$AA193=""),"",IFERROR($AA193/$K193,""))</f>
        <v/>
      </c>
      <c r="AC193" s="69">
        <f>IF(OR($B193="",$X193=""),"",IFERROR(($X193/$K193)/('Grundeinstellungen'!$C$16*('Grundeinstellungen'!$C$6-'Grundeinstellungen'!$C$7))*3600,""))</f>
        <v/>
      </c>
      <c r="AD193" s="70">
        <f>IF(OR($B193="",$AC193=""),"",$AC193/'Grundeinstellungen'!$C$15*1000)</f>
        <v/>
      </c>
      <c r="AE193" s="71">
        <f>IF(OR($B193="",$AC193=""),"",IFERROR($AC193/3600/'Grundeinstellungen'!$C$15/'Grundeinstellungen'!$J$22,""))</f>
        <v/>
      </c>
      <c r="AF193" s="72">
        <f>IF(OR($B193="",$AE193=""),"",IFERROR($AE193*'Grundeinstellungen'!$J$21/'Grundeinstellungen'!$C$17,""))</f>
        <v/>
      </c>
      <c r="AG193" s="73">
        <f>IF(OR($B193="",$AF193=""),"",IF($AF193&lt;2300,"laminar",IF($AF193&lt;4000,"Übergangsbereich","turbulent")))</f>
        <v/>
      </c>
      <c r="AH193" s="74">
        <f>IF(OR($B193="",$AF193=""),"",IF($AF193&lt;2300,64/$AF193,0.316/$AF193^0.25))</f>
        <v/>
      </c>
      <c r="AI193" s="75">
        <f>IF(OR($B193="",$AH193="",$AB193=""),"",IFERROR($AH193*($AB193/'Grundeinstellungen'!$J$21)*('Grundeinstellungen'!$C$15/2)*$AE193^2,""))</f>
        <v/>
      </c>
      <c r="AJ193" s="76">
        <f>IF(OR($B193="",$AI193="",$AB193=""),"",IFERROR($AI193/$AB193,""))</f>
        <v/>
      </c>
      <c r="AK193" s="75">
        <f>IF(OR($B193="",$AI193=""),"",$AI193*(1+'Grundeinstellungen'!$C$24)+'Grundeinstellungen'!$C$25)</f>
        <v/>
      </c>
    </row>
    <row r="194">
      <c r="A194" s="51" t="n"/>
      <c r="B194" s="51" t="n"/>
      <c r="C194" s="51" t="n"/>
      <c r="D194" s="52" t="n"/>
      <c r="E194" s="53" t="n"/>
      <c r="F194" s="54" t="n"/>
      <c r="G194" s="55">
        <f>IF($B194="","",IFERROR($F194/$D194,""))</f>
        <v/>
      </c>
      <c r="H194" s="52" t="n"/>
      <c r="I194" s="56" t="n"/>
      <c r="J194" s="57" t="n"/>
      <c r="K194" s="58" t="n"/>
      <c r="L194" s="59" t="n"/>
      <c r="M194" s="60" t="n"/>
      <c r="N194" s="61">
        <f>IF($B194="","",IFERROR(('Grundeinstellungen'!$C$6-'Grundeinstellungen'!$C$7)/LN(('Grundeinstellungen'!$C$6-$E194)/('Grundeinstellungen'!$C$7-$E194)),""))</f>
        <v/>
      </c>
      <c r="O194" s="62">
        <f>IF($B194="","",IFERROR(IFERROR(INDEX('Konstanten'!$B$6:$B$10,MATCH($I194,'Konstanten'!$A$6:$A$10,1))+($I194-INDEX('Konstanten'!$A$6:$A$10,MATCH($I194,'Konstanten'!$A$6:$A$10,1)))/(INDEX('Konstanten'!$A$6:$A$10,MATCH($I194,'Konstanten'!$A$6:$A$10,1)+1)-INDEX('Konstanten'!$A$6:$A$10,MATCH($I194,'Konstanten'!$A$6:$A$10,1)))*(INDEX('Konstanten'!$B$6:$B$10,MATCH($I194,'Konstanten'!$A$6:$A$10,1)+1)-INDEX('Konstanten'!$B$6:$B$10,MATCH($I194,'Konstanten'!$A$6:$A$10,1))),INDEX('Konstanten'!$B$6:$B$10,MATCH($I194,'Konstanten'!$A$6:$A$10,1))),""))</f>
        <v/>
      </c>
      <c r="P194" s="62">
        <f>IF($B194="","",IFERROR(IFERROR(INDEX('Konstanten'!$C$6:$C$10,MATCH($I194,'Konstanten'!$A$6:$A$10,1))+($I194-INDEX('Konstanten'!$A$6:$A$10,MATCH($I194,'Konstanten'!$A$6:$A$10,1)))/(INDEX('Konstanten'!$A$6:$A$10,MATCH($I194,'Konstanten'!$A$6:$A$10,1)+1)-INDEX('Konstanten'!$A$6:$A$10,MATCH($I194,'Konstanten'!$A$6:$A$10,1)))*(INDEX('Konstanten'!$C$6:$C$10,MATCH($I194,'Konstanten'!$A$6:$A$10,1)+1)-INDEX('Konstanten'!$C$6:$C$10,MATCH($I194,'Konstanten'!$A$6:$A$10,1))),INDEX('Konstanten'!$C$6:$C$10,MATCH($I194,'Konstanten'!$A$6:$A$10,1))),""))</f>
        <v/>
      </c>
      <c r="Q194" s="63">
        <f>IF(OR($B194="",$N194="",$O194="",$P194=""),"",'Konstanten'!$C$13*$O194*$P194^(1-($J194/1000)/0.075)*'Konstanten'!$C$14^'Konstanten'!$C$16*'Konstanten'!$C$15^'Konstanten'!$C$17*$N194)</f>
        <v/>
      </c>
      <c r="R194" s="64">
        <f>IF(OR($B194="",$Q194=""),"",$E194+$Q194/'Grundeinstellungen'!$J$6)</f>
        <v/>
      </c>
      <c r="S194" s="64">
        <f>IF($B194="","",IFERROR(VLOOKUP($M194,'Konstanten'!$H$6:$I$13,2,FALSE),29))</f>
        <v/>
      </c>
      <c r="T194" s="65">
        <f>IF(OR($B194="",$Q194=""),"",$Q194*$H194)</f>
        <v/>
      </c>
      <c r="U194" s="66">
        <f>IF(OR($B194="",$T194=""),"",$T194-$F194)</f>
        <v/>
      </c>
      <c r="V194" s="67">
        <f>IF(OR($B194="",$T194=""),"",IFERROR($T194/$F194,""))</f>
        <v/>
      </c>
      <c r="W194" s="65">
        <f>IF(OR($B194="",$H194=""),"",'Grundeinstellungen'!$J$13*$H194)</f>
        <v/>
      </c>
      <c r="X194" s="65">
        <f>IF(OR($B194="",$T194=""),"",MIN($T194,$F194)+$W194)</f>
        <v/>
      </c>
      <c r="Y194" s="68">
        <f>IF($B194="","",IFERROR($H194/($J194/1000),""))</f>
        <v/>
      </c>
      <c r="Z194" s="68">
        <f>IF($B194="","",IFERROR(2*$L194*$K194,""))</f>
        <v/>
      </c>
      <c r="AA194" s="68">
        <f>IF(OR($B194="",$Y194="",$Z194=""),"",$Y194+$Z194)</f>
        <v/>
      </c>
      <c r="AB194" s="68">
        <f>IF(OR($B194="",$AA194=""),"",IFERROR($AA194/$K194,""))</f>
        <v/>
      </c>
      <c r="AC194" s="69">
        <f>IF(OR($B194="",$X194=""),"",IFERROR(($X194/$K194)/('Grundeinstellungen'!$C$16*('Grundeinstellungen'!$C$6-'Grundeinstellungen'!$C$7))*3600,""))</f>
        <v/>
      </c>
      <c r="AD194" s="70">
        <f>IF(OR($B194="",$AC194=""),"",$AC194/'Grundeinstellungen'!$C$15*1000)</f>
        <v/>
      </c>
      <c r="AE194" s="71">
        <f>IF(OR($B194="",$AC194=""),"",IFERROR($AC194/3600/'Grundeinstellungen'!$C$15/'Grundeinstellungen'!$J$22,""))</f>
        <v/>
      </c>
      <c r="AF194" s="72">
        <f>IF(OR($B194="",$AE194=""),"",IFERROR($AE194*'Grundeinstellungen'!$J$21/'Grundeinstellungen'!$C$17,""))</f>
        <v/>
      </c>
      <c r="AG194" s="73">
        <f>IF(OR($B194="",$AF194=""),"",IF($AF194&lt;2300,"laminar",IF($AF194&lt;4000,"Übergangsbereich","turbulent")))</f>
        <v/>
      </c>
      <c r="AH194" s="74">
        <f>IF(OR($B194="",$AF194=""),"",IF($AF194&lt;2300,64/$AF194,0.316/$AF194^0.25))</f>
        <v/>
      </c>
      <c r="AI194" s="75">
        <f>IF(OR($B194="",$AH194="",$AB194=""),"",IFERROR($AH194*($AB194/'Grundeinstellungen'!$J$21)*('Grundeinstellungen'!$C$15/2)*$AE194^2,""))</f>
        <v/>
      </c>
      <c r="AJ194" s="76">
        <f>IF(OR($B194="",$AI194="",$AB194=""),"",IFERROR($AI194/$AB194,""))</f>
        <v/>
      </c>
      <c r="AK194" s="75">
        <f>IF(OR($B194="",$AI194=""),"",$AI194*(1+'Grundeinstellungen'!$C$24)+'Grundeinstellungen'!$C$25)</f>
        <v/>
      </c>
    </row>
    <row r="195">
      <c r="A195" s="51" t="n"/>
      <c r="B195" s="51" t="n"/>
      <c r="C195" s="51" t="n"/>
      <c r="D195" s="52" t="n"/>
      <c r="E195" s="53" t="n"/>
      <c r="F195" s="54" t="n"/>
      <c r="G195" s="55">
        <f>IF($B195="","",IFERROR($F195/$D195,""))</f>
        <v/>
      </c>
      <c r="H195" s="52" t="n"/>
      <c r="I195" s="56" t="n"/>
      <c r="J195" s="57" t="n"/>
      <c r="K195" s="58" t="n"/>
      <c r="L195" s="59" t="n"/>
      <c r="M195" s="60" t="n"/>
      <c r="N195" s="61">
        <f>IF($B195="","",IFERROR(('Grundeinstellungen'!$C$6-'Grundeinstellungen'!$C$7)/LN(('Grundeinstellungen'!$C$6-$E195)/('Grundeinstellungen'!$C$7-$E195)),""))</f>
        <v/>
      </c>
      <c r="O195" s="62">
        <f>IF($B195="","",IFERROR(IFERROR(INDEX('Konstanten'!$B$6:$B$10,MATCH($I195,'Konstanten'!$A$6:$A$10,1))+($I195-INDEX('Konstanten'!$A$6:$A$10,MATCH($I195,'Konstanten'!$A$6:$A$10,1)))/(INDEX('Konstanten'!$A$6:$A$10,MATCH($I195,'Konstanten'!$A$6:$A$10,1)+1)-INDEX('Konstanten'!$A$6:$A$10,MATCH($I195,'Konstanten'!$A$6:$A$10,1)))*(INDEX('Konstanten'!$B$6:$B$10,MATCH($I195,'Konstanten'!$A$6:$A$10,1)+1)-INDEX('Konstanten'!$B$6:$B$10,MATCH($I195,'Konstanten'!$A$6:$A$10,1))),INDEX('Konstanten'!$B$6:$B$10,MATCH($I195,'Konstanten'!$A$6:$A$10,1))),""))</f>
        <v/>
      </c>
      <c r="P195" s="62">
        <f>IF($B195="","",IFERROR(IFERROR(INDEX('Konstanten'!$C$6:$C$10,MATCH($I195,'Konstanten'!$A$6:$A$10,1))+($I195-INDEX('Konstanten'!$A$6:$A$10,MATCH($I195,'Konstanten'!$A$6:$A$10,1)))/(INDEX('Konstanten'!$A$6:$A$10,MATCH($I195,'Konstanten'!$A$6:$A$10,1)+1)-INDEX('Konstanten'!$A$6:$A$10,MATCH($I195,'Konstanten'!$A$6:$A$10,1)))*(INDEX('Konstanten'!$C$6:$C$10,MATCH($I195,'Konstanten'!$A$6:$A$10,1)+1)-INDEX('Konstanten'!$C$6:$C$10,MATCH($I195,'Konstanten'!$A$6:$A$10,1))),INDEX('Konstanten'!$C$6:$C$10,MATCH($I195,'Konstanten'!$A$6:$A$10,1))),""))</f>
        <v/>
      </c>
      <c r="Q195" s="63">
        <f>IF(OR($B195="",$N195="",$O195="",$P195=""),"",'Konstanten'!$C$13*$O195*$P195^(1-($J195/1000)/0.075)*'Konstanten'!$C$14^'Konstanten'!$C$16*'Konstanten'!$C$15^'Konstanten'!$C$17*$N195)</f>
        <v/>
      </c>
      <c r="R195" s="64">
        <f>IF(OR($B195="",$Q195=""),"",$E195+$Q195/'Grundeinstellungen'!$J$6)</f>
        <v/>
      </c>
      <c r="S195" s="64">
        <f>IF($B195="","",IFERROR(VLOOKUP($M195,'Konstanten'!$H$6:$I$13,2,FALSE),29))</f>
        <v/>
      </c>
      <c r="T195" s="65">
        <f>IF(OR($B195="",$Q195=""),"",$Q195*$H195)</f>
        <v/>
      </c>
      <c r="U195" s="66">
        <f>IF(OR($B195="",$T195=""),"",$T195-$F195)</f>
        <v/>
      </c>
      <c r="V195" s="67">
        <f>IF(OR($B195="",$T195=""),"",IFERROR($T195/$F195,""))</f>
        <v/>
      </c>
      <c r="W195" s="65">
        <f>IF(OR($B195="",$H195=""),"",'Grundeinstellungen'!$J$13*$H195)</f>
        <v/>
      </c>
      <c r="X195" s="65">
        <f>IF(OR($B195="",$T195=""),"",MIN($T195,$F195)+$W195)</f>
        <v/>
      </c>
      <c r="Y195" s="68">
        <f>IF($B195="","",IFERROR($H195/($J195/1000),""))</f>
        <v/>
      </c>
      <c r="Z195" s="68">
        <f>IF($B195="","",IFERROR(2*$L195*$K195,""))</f>
        <v/>
      </c>
      <c r="AA195" s="68">
        <f>IF(OR($B195="",$Y195="",$Z195=""),"",$Y195+$Z195)</f>
        <v/>
      </c>
      <c r="AB195" s="68">
        <f>IF(OR($B195="",$AA195=""),"",IFERROR($AA195/$K195,""))</f>
        <v/>
      </c>
      <c r="AC195" s="69">
        <f>IF(OR($B195="",$X195=""),"",IFERROR(($X195/$K195)/('Grundeinstellungen'!$C$16*('Grundeinstellungen'!$C$6-'Grundeinstellungen'!$C$7))*3600,""))</f>
        <v/>
      </c>
      <c r="AD195" s="70">
        <f>IF(OR($B195="",$AC195=""),"",$AC195/'Grundeinstellungen'!$C$15*1000)</f>
        <v/>
      </c>
      <c r="AE195" s="71">
        <f>IF(OR($B195="",$AC195=""),"",IFERROR($AC195/3600/'Grundeinstellungen'!$C$15/'Grundeinstellungen'!$J$22,""))</f>
        <v/>
      </c>
      <c r="AF195" s="72">
        <f>IF(OR($B195="",$AE195=""),"",IFERROR($AE195*'Grundeinstellungen'!$J$21/'Grundeinstellungen'!$C$17,""))</f>
        <v/>
      </c>
      <c r="AG195" s="73">
        <f>IF(OR($B195="",$AF195=""),"",IF($AF195&lt;2300,"laminar",IF($AF195&lt;4000,"Übergangsbereich","turbulent")))</f>
        <v/>
      </c>
      <c r="AH195" s="74">
        <f>IF(OR($B195="",$AF195=""),"",IF($AF195&lt;2300,64/$AF195,0.316/$AF195^0.25))</f>
        <v/>
      </c>
      <c r="AI195" s="75">
        <f>IF(OR($B195="",$AH195="",$AB195=""),"",IFERROR($AH195*($AB195/'Grundeinstellungen'!$J$21)*('Grundeinstellungen'!$C$15/2)*$AE195^2,""))</f>
        <v/>
      </c>
      <c r="AJ195" s="76">
        <f>IF(OR($B195="",$AI195="",$AB195=""),"",IFERROR($AI195/$AB195,""))</f>
        <v/>
      </c>
      <c r="AK195" s="75">
        <f>IF(OR($B195="",$AI195=""),"",$AI195*(1+'Grundeinstellungen'!$C$24)+'Grundeinstellungen'!$C$25)</f>
        <v/>
      </c>
    </row>
    <row r="196">
      <c r="A196" s="51" t="n"/>
      <c r="B196" s="51" t="n"/>
      <c r="C196" s="51" t="n"/>
      <c r="D196" s="52" t="n"/>
      <c r="E196" s="53" t="n"/>
      <c r="F196" s="54" t="n"/>
      <c r="G196" s="55">
        <f>IF($B196="","",IFERROR($F196/$D196,""))</f>
        <v/>
      </c>
      <c r="H196" s="52" t="n"/>
      <c r="I196" s="56" t="n"/>
      <c r="J196" s="57" t="n"/>
      <c r="K196" s="58" t="n"/>
      <c r="L196" s="59" t="n"/>
      <c r="M196" s="60" t="n"/>
      <c r="N196" s="61">
        <f>IF($B196="","",IFERROR(('Grundeinstellungen'!$C$6-'Grundeinstellungen'!$C$7)/LN(('Grundeinstellungen'!$C$6-$E196)/('Grundeinstellungen'!$C$7-$E196)),""))</f>
        <v/>
      </c>
      <c r="O196" s="62">
        <f>IF($B196="","",IFERROR(IFERROR(INDEX('Konstanten'!$B$6:$B$10,MATCH($I196,'Konstanten'!$A$6:$A$10,1))+($I196-INDEX('Konstanten'!$A$6:$A$10,MATCH($I196,'Konstanten'!$A$6:$A$10,1)))/(INDEX('Konstanten'!$A$6:$A$10,MATCH($I196,'Konstanten'!$A$6:$A$10,1)+1)-INDEX('Konstanten'!$A$6:$A$10,MATCH($I196,'Konstanten'!$A$6:$A$10,1)))*(INDEX('Konstanten'!$B$6:$B$10,MATCH($I196,'Konstanten'!$A$6:$A$10,1)+1)-INDEX('Konstanten'!$B$6:$B$10,MATCH($I196,'Konstanten'!$A$6:$A$10,1))),INDEX('Konstanten'!$B$6:$B$10,MATCH($I196,'Konstanten'!$A$6:$A$10,1))),""))</f>
        <v/>
      </c>
      <c r="P196" s="62">
        <f>IF($B196="","",IFERROR(IFERROR(INDEX('Konstanten'!$C$6:$C$10,MATCH($I196,'Konstanten'!$A$6:$A$10,1))+($I196-INDEX('Konstanten'!$A$6:$A$10,MATCH($I196,'Konstanten'!$A$6:$A$10,1)))/(INDEX('Konstanten'!$A$6:$A$10,MATCH($I196,'Konstanten'!$A$6:$A$10,1)+1)-INDEX('Konstanten'!$A$6:$A$10,MATCH($I196,'Konstanten'!$A$6:$A$10,1)))*(INDEX('Konstanten'!$C$6:$C$10,MATCH($I196,'Konstanten'!$A$6:$A$10,1)+1)-INDEX('Konstanten'!$C$6:$C$10,MATCH($I196,'Konstanten'!$A$6:$A$10,1))),INDEX('Konstanten'!$C$6:$C$10,MATCH($I196,'Konstanten'!$A$6:$A$10,1))),""))</f>
        <v/>
      </c>
      <c r="Q196" s="63">
        <f>IF(OR($B196="",$N196="",$O196="",$P196=""),"",'Konstanten'!$C$13*$O196*$P196^(1-($J196/1000)/0.075)*'Konstanten'!$C$14^'Konstanten'!$C$16*'Konstanten'!$C$15^'Konstanten'!$C$17*$N196)</f>
        <v/>
      </c>
      <c r="R196" s="64">
        <f>IF(OR($B196="",$Q196=""),"",$E196+$Q196/'Grundeinstellungen'!$J$6)</f>
        <v/>
      </c>
      <c r="S196" s="64">
        <f>IF($B196="","",IFERROR(VLOOKUP($M196,'Konstanten'!$H$6:$I$13,2,FALSE),29))</f>
        <v/>
      </c>
      <c r="T196" s="65">
        <f>IF(OR($B196="",$Q196=""),"",$Q196*$H196)</f>
        <v/>
      </c>
      <c r="U196" s="66">
        <f>IF(OR($B196="",$T196=""),"",$T196-$F196)</f>
        <v/>
      </c>
      <c r="V196" s="67">
        <f>IF(OR($B196="",$T196=""),"",IFERROR($T196/$F196,""))</f>
        <v/>
      </c>
      <c r="W196" s="65">
        <f>IF(OR($B196="",$H196=""),"",'Grundeinstellungen'!$J$13*$H196)</f>
        <v/>
      </c>
      <c r="X196" s="65">
        <f>IF(OR($B196="",$T196=""),"",MIN($T196,$F196)+$W196)</f>
        <v/>
      </c>
      <c r="Y196" s="68">
        <f>IF($B196="","",IFERROR($H196/($J196/1000),""))</f>
        <v/>
      </c>
      <c r="Z196" s="68">
        <f>IF($B196="","",IFERROR(2*$L196*$K196,""))</f>
        <v/>
      </c>
      <c r="AA196" s="68">
        <f>IF(OR($B196="",$Y196="",$Z196=""),"",$Y196+$Z196)</f>
        <v/>
      </c>
      <c r="AB196" s="68">
        <f>IF(OR($B196="",$AA196=""),"",IFERROR($AA196/$K196,""))</f>
        <v/>
      </c>
      <c r="AC196" s="69">
        <f>IF(OR($B196="",$X196=""),"",IFERROR(($X196/$K196)/('Grundeinstellungen'!$C$16*('Grundeinstellungen'!$C$6-'Grundeinstellungen'!$C$7))*3600,""))</f>
        <v/>
      </c>
      <c r="AD196" s="70">
        <f>IF(OR($B196="",$AC196=""),"",$AC196/'Grundeinstellungen'!$C$15*1000)</f>
        <v/>
      </c>
      <c r="AE196" s="71">
        <f>IF(OR($B196="",$AC196=""),"",IFERROR($AC196/3600/'Grundeinstellungen'!$C$15/'Grundeinstellungen'!$J$22,""))</f>
        <v/>
      </c>
      <c r="AF196" s="72">
        <f>IF(OR($B196="",$AE196=""),"",IFERROR($AE196*'Grundeinstellungen'!$J$21/'Grundeinstellungen'!$C$17,""))</f>
        <v/>
      </c>
      <c r="AG196" s="73">
        <f>IF(OR($B196="",$AF196=""),"",IF($AF196&lt;2300,"laminar",IF($AF196&lt;4000,"Übergangsbereich","turbulent")))</f>
        <v/>
      </c>
      <c r="AH196" s="74">
        <f>IF(OR($B196="",$AF196=""),"",IF($AF196&lt;2300,64/$AF196,0.316/$AF196^0.25))</f>
        <v/>
      </c>
      <c r="AI196" s="75">
        <f>IF(OR($B196="",$AH196="",$AB196=""),"",IFERROR($AH196*($AB196/'Grundeinstellungen'!$J$21)*('Grundeinstellungen'!$C$15/2)*$AE196^2,""))</f>
        <v/>
      </c>
      <c r="AJ196" s="76">
        <f>IF(OR($B196="",$AI196="",$AB196=""),"",IFERROR($AI196/$AB196,""))</f>
        <v/>
      </c>
      <c r="AK196" s="75">
        <f>IF(OR($B196="",$AI196=""),"",$AI196*(1+'Grundeinstellungen'!$C$24)+'Grundeinstellungen'!$C$25)</f>
        <v/>
      </c>
    </row>
    <row r="197">
      <c r="A197" s="51" t="n"/>
      <c r="B197" s="51" t="n"/>
      <c r="C197" s="51" t="n"/>
      <c r="D197" s="52" t="n"/>
      <c r="E197" s="53" t="n"/>
      <c r="F197" s="54" t="n"/>
      <c r="G197" s="55">
        <f>IF($B197="","",IFERROR($F197/$D197,""))</f>
        <v/>
      </c>
      <c r="H197" s="52" t="n"/>
      <c r="I197" s="56" t="n"/>
      <c r="J197" s="57" t="n"/>
      <c r="K197" s="58" t="n"/>
      <c r="L197" s="59" t="n"/>
      <c r="M197" s="60" t="n"/>
      <c r="N197" s="61">
        <f>IF($B197="","",IFERROR(('Grundeinstellungen'!$C$6-'Grundeinstellungen'!$C$7)/LN(('Grundeinstellungen'!$C$6-$E197)/('Grundeinstellungen'!$C$7-$E197)),""))</f>
        <v/>
      </c>
      <c r="O197" s="62">
        <f>IF($B197="","",IFERROR(IFERROR(INDEX('Konstanten'!$B$6:$B$10,MATCH($I197,'Konstanten'!$A$6:$A$10,1))+($I197-INDEX('Konstanten'!$A$6:$A$10,MATCH($I197,'Konstanten'!$A$6:$A$10,1)))/(INDEX('Konstanten'!$A$6:$A$10,MATCH($I197,'Konstanten'!$A$6:$A$10,1)+1)-INDEX('Konstanten'!$A$6:$A$10,MATCH($I197,'Konstanten'!$A$6:$A$10,1)))*(INDEX('Konstanten'!$B$6:$B$10,MATCH($I197,'Konstanten'!$A$6:$A$10,1)+1)-INDEX('Konstanten'!$B$6:$B$10,MATCH($I197,'Konstanten'!$A$6:$A$10,1))),INDEX('Konstanten'!$B$6:$B$10,MATCH($I197,'Konstanten'!$A$6:$A$10,1))),""))</f>
        <v/>
      </c>
      <c r="P197" s="62">
        <f>IF($B197="","",IFERROR(IFERROR(INDEX('Konstanten'!$C$6:$C$10,MATCH($I197,'Konstanten'!$A$6:$A$10,1))+($I197-INDEX('Konstanten'!$A$6:$A$10,MATCH($I197,'Konstanten'!$A$6:$A$10,1)))/(INDEX('Konstanten'!$A$6:$A$10,MATCH($I197,'Konstanten'!$A$6:$A$10,1)+1)-INDEX('Konstanten'!$A$6:$A$10,MATCH($I197,'Konstanten'!$A$6:$A$10,1)))*(INDEX('Konstanten'!$C$6:$C$10,MATCH($I197,'Konstanten'!$A$6:$A$10,1)+1)-INDEX('Konstanten'!$C$6:$C$10,MATCH($I197,'Konstanten'!$A$6:$A$10,1))),INDEX('Konstanten'!$C$6:$C$10,MATCH($I197,'Konstanten'!$A$6:$A$10,1))),""))</f>
        <v/>
      </c>
      <c r="Q197" s="63">
        <f>IF(OR($B197="",$N197="",$O197="",$P197=""),"",'Konstanten'!$C$13*$O197*$P197^(1-($J197/1000)/0.075)*'Konstanten'!$C$14^'Konstanten'!$C$16*'Konstanten'!$C$15^'Konstanten'!$C$17*$N197)</f>
        <v/>
      </c>
      <c r="R197" s="64">
        <f>IF(OR($B197="",$Q197=""),"",$E197+$Q197/'Grundeinstellungen'!$J$6)</f>
        <v/>
      </c>
      <c r="S197" s="64">
        <f>IF($B197="","",IFERROR(VLOOKUP($M197,'Konstanten'!$H$6:$I$13,2,FALSE),29))</f>
        <v/>
      </c>
      <c r="T197" s="65">
        <f>IF(OR($B197="",$Q197=""),"",$Q197*$H197)</f>
        <v/>
      </c>
      <c r="U197" s="66">
        <f>IF(OR($B197="",$T197=""),"",$T197-$F197)</f>
        <v/>
      </c>
      <c r="V197" s="67">
        <f>IF(OR($B197="",$T197=""),"",IFERROR($T197/$F197,""))</f>
        <v/>
      </c>
      <c r="W197" s="65">
        <f>IF(OR($B197="",$H197=""),"",'Grundeinstellungen'!$J$13*$H197)</f>
        <v/>
      </c>
      <c r="X197" s="65">
        <f>IF(OR($B197="",$T197=""),"",MIN($T197,$F197)+$W197)</f>
        <v/>
      </c>
      <c r="Y197" s="68">
        <f>IF($B197="","",IFERROR($H197/($J197/1000),""))</f>
        <v/>
      </c>
      <c r="Z197" s="68">
        <f>IF($B197="","",IFERROR(2*$L197*$K197,""))</f>
        <v/>
      </c>
      <c r="AA197" s="68">
        <f>IF(OR($B197="",$Y197="",$Z197=""),"",$Y197+$Z197)</f>
        <v/>
      </c>
      <c r="AB197" s="68">
        <f>IF(OR($B197="",$AA197=""),"",IFERROR($AA197/$K197,""))</f>
        <v/>
      </c>
      <c r="AC197" s="69">
        <f>IF(OR($B197="",$X197=""),"",IFERROR(($X197/$K197)/('Grundeinstellungen'!$C$16*('Grundeinstellungen'!$C$6-'Grundeinstellungen'!$C$7))*3600,""))</f>
        <v/>
      </c>
      <c r="AD197" s="70">
        <f>IF(OR($B197="",$AC197=""),"",$AC197/'Grundeinstellungen'!$C$15*1000)</f>
        <v/>
      </c>
      <c r="AE197" s="71">
        <f>IF(OR($B197="",$AC197=""),"",IFERROR($AC197/3600/'Grundeinstellungen'!$C$15/'Grundeinstellungen'!$J$22,""))</f>
        <v/>
      </c>
      <c r="AF197" s="72">
        <f>IF(OR($B197="",$AE197=""),"",IFERROR($AE197*'Grundeinstellungen'!$J$21/'Grundeinstellungen'!$C$17,""))</f>
        <v/>
      </c>
      <c r="AG197" s="73">
        <f>IF(OR($B197="",$AF197=""),"",IF($AF197&lt;2300,"laminar",IF($AF197&lt;4000,"Übergangsbereich","turbulent")))</f>
        <v/>
      </c>
      <c r="AH197" s="74">
        <f>IF(OR($B197="",$AF197=""),"",IF($AF197&lt;2300,64/$AF197,0.316/$AF197^0.25))</f>
        <v/>
      </c>
      <c r="AI197" s="75">
        <f>IF(OR($B197="",$AH197="",$AB197=""),"",IFERROR($AH197*($AB197/'Grundeinstellungen'!$J$21)*('Grundeinstellungen'!$C$15/2)*$AE197^2,""))</f>
        <v/>
      </c>
      <c r="AJ197" s="76">
        <f>IF(OR($B197="",$AI197="",$AB197=""),"",IFERROR($AI197/$AB197,""))</f>
        <v/>
      </c>
      <c r="AK197" s="75">
        <f>IF(OR($B197="",$AI197=""),"",$AI197*(1+'Grundeinstellungen'!$C$24)+'Grundeinstellungen'!$C$25)</f>
        <v/>
      </c>
    </row>
    <row r="198">
      <c r="A198" s="51" t="n"/>
      <c r="B198" s="51" t="n"/>
      <c r="C198" s="51" t="n"/>
      <c r="D198" s="52" t="n"/>
      <c r="E198" s="53" t="n"/>
      <c r="F198" s="54" t="n"/>
      <c r="G198" s="55">
        <f>IF($B198="","",IFERROR($F198/$D198,""))</f>
        <v/>
      </c>
      <c r="H198" s="52" t="n"/>
      <c r="I198" s="56" t="n"/>
      <c r="J198" s="57" t="n"/>
      <c r="K198" s="58" t="n"/>
      <c r="L198" s="59" t="n"/>
      <c r="M198" s="60" t="n"/>
      <c r="N198" s="61">
        <f>IF($B198="","",IFERROR(('Grundeinstellungen'!$C$6-'Grundeinstellungen'!$C$7)/LN(('Grundeinstellungen'!$C$6-$E198)/('Grundeinstellungen'!$C$7-$E198)),""))</f>
        <v/>
      </c>
      <c r="O198" s="62">
        <f>IF($B198="","",IFERROR(IFERROR(INDEX('Konstanten'!$B$6:$B$10,MATCH($I198,'Konstanten'!$A$6:$A$10,1))+($I198-INDEX('Konstanten'!$A$6:$A$10,MATCH($I198,'Konstanten'!$A$6:$A$10,1)))/(INDEX('Konstanten'!$A$6:$A$10,MATCH($I198,'Konstanten'!$A$6:$A$10,1)+1)-INDEX('Konstanten'!$A$6:$A$10,MATCH($I198,'Konstanten'!$A$6:$A$10,1)))*(INDEX('Konstanten'!$B$6:$B$10,MATCH($I198,'Konstanten'!$A$6:$A$10,1)+1)-INDEX('Konstanten'!$B$6:$B$10,MATCH($I198,'Konstanten'!$A$6:$A$10,1))),INDEX('Konstanten'!$B$6:$B$10,MATCH($I198,'Konstanten'!$A$6:$A$10,1))),""))</f>
        <v/>
      </c>
      <c r="P198" s="62">
        <f>IF($B198="","",IFERROR(IFERROR(INDEX('Konstanten'!$C$6:$C$10,MATCH($I198,'Konstanten'!$A$6:$A$10,1))+($I198-INDEX('Konstanten'!$A$6:$A$10,MATCH($I198,'Konstanten'!$A$6:$A$10,1)))/(INDEX('Konstanten'!$A$6:$A$10,MATCH($I198,'Konstanten'!$A$6:$A$10,1)+1)-INDEX('Konstanten'!$A$6:$A$10,MATCH($I198,'Konstanten'!$A$6:$A$10,1)))*(INDEX('Konstanten'!$C$6:$C$10,MATCH($I198,'Konstanten'!$A$6:$A$10,1)+1)-INDEX('Konstanten'!$C$6:$C$10,MATCH($I198,'Konstanten'!$A$6:$A$10,1))),INDEX('Konstanten'!$C$6:$C$10,MATCH($I198,'Konstanten'!$A$6:$A$10,1))),""))</f>
        <v/>
      </c>
      <c r="Q198" s="63">
        <f>IF(OR($B198="",$N198="",$O198="",$P198=""),"",'Konstanten'!$C$13*$O198*$P198^(1-($J198/1000)/0.075)*'Konstanten'!$C$14^'Konstanten'!$C$16*'Konstanten'!$C$15^'Konstanten'!$C$17*$N198)</f>
        <v/>
      </c>
      <c r="R198" s="64">
        <f>IF(OR($B198="",$Q198=""),"",$E198+$Q198/'Grundeinstellungen'!$J$6)</f>
        <v/>
      </c>
      <c r="S198" s="64">
        <f>IF($B198="","",IFERROR(VLOOKUP($M198,'Konstanten'!$H$6:$I$13,2,FALSE),29))</f>
        <v/>
      </c>
      <c r="T198" s="65">
        <f>IF(OR($B198="",$Q198=""),"",$Q198*$H198)</f>
        <v/>
      </c>
      <c r="U198" s="66">
        <f>IF(OR($B198="",$T198=""),"",$T198-$F198)</f>
        <v/>
      </c>
      <c r="V198" s="67">
        <f>IF(OR($B198="",$T198=""),"",IFERROR($T198/$F198,""))</f>
        <v/>
      </c>
      <c r="W198" s="65">
        <f>IF(OR($B198="",$H198=""),"",'Grundeinstellungen'!$J$13*$H198)</f>
        <v/>
      </c>
      <c r="X198" s="65">
        <f>IF(OR($B198="",$T198=""),"",MIN($T198,$F198)+$W198)</f>
        <v/>
      </c>
      <c r="Y198" s="68">
        <f>IF($B198="","",IFERROR($H198/($J198/1000),""))</f>
        <v/>
      </c>
      <c r="Z198" s="68">
        <f>IF($B198="","",IFERROR(2*$L198*$K198,""))</f>
        <v/>
      </c>
      <c r="AA198" s="68">
        <f>IF(OR($B198="",$Y198="",$Z198=""),"",$Y198+$Z198)</f>
        <v/>
      </c>
      <c r="AB198" s="68">
        <f>IF(OR($B198="",$AA198=""),"",IFERROR($AA198/$K198,""))</f>
        <v/>
      </c>
      <c r="AC198" s="69">
        <f>IF(OR($B198="",$X198=""),"",IFERROR(($X198/$K198)/('Grundeinstellungen'!$C$16*('Grundeinstellungen'!$C$6-'Grundeinstellungen'!$C$7))*3600,""))</f>
        <v/>
      </c>
      <c r="AD198" s="70">
        <f>IF(OR($B198="",$AC198=""),"",$AC198/'Grundeinstellungen'!$C$15*1000)</f>
        <v/>
      </c>
      <c r="AE198" s="71">
        <f>IF(OR($B198="",$AC198=""),"",IFERROR($AC198/3600/'Grundeinstellungen'!$C$15/'Grundeinstellungen'!$J$22,""))</f>
        <v/>
      </c>
      <c r="AF198" s="72">
        <f>IF(OR($B198="",$AE198=""),"",IFERROR($AE198*'Grundeinstellungen'!$J$21/'Grundeinstellungen'!$C$17,""))</f>
        <v/>
      </c>
      <c r="AG198" s="73">
        <f>IF(OR($B198="",$AF198=""),"",IF($AF198&lt;2300,"laminar",IF($AF198&lt;4000,"Übergangsbereich","turbulent")))</f>
        <v/>
      </c>
      <c r="AH198" s="74">
        <f>IF(OR($B198="",$AF198=""),"",IF($AF198&lt;2300,64/$AF198,0.316/$AF198^0.25))</f>
        <v/>
      </c>
      <c r="AI198" s="75">
        <f>IF(OR($B198="",$AH198="",$AB198=""),"",IFERROR($AH198*($AB198/'Grundeinstellungen'!$J$21)*('Grundeinstellungen'!$C$15/2)*$AE198^2,""))</f>
        <v/>
      </c>
      <c r="AJ198" s="76">
        <f>IF(OR($B198="",$AI198="",$AB198=""),"",IFERROR($AI198/$AB198,""))</f>
        <v/>
      </c>
      <c r="AK198" s="75">
        <f>IF(OR($B198="",$AI198=""),"",$AI198*(1+'Grundeinstellungen'!$C$24)+'Grundeinstellungen'!$C$25)</f>
        <v/>
      </c>
    </row>
    <row r="199">
      <c r="A199" s="51" t="n"/>
      <c r="B199" s="51" t="n"/>
      <c r="C199" s="51" t="n"/>
      <c r="D199" s="52" t="n"/>
      <c r="E199" s="53" t="n"/>
      <c r="F199" s="54" t="n"/>
      <c r="G199" s="55">
        <f>IF($B199="","",IFERROR($F199/$D199,""))</f>
        <v/>
      </c>
      <c r="H199" s="52" t="n"/>
      <c r="I199" s="56" t="n"/>
      <c r="J199" s="57" t="n"/>
      <c r="K199" s="58" t="n"/>
      <c r="L199" s="59" t="n"/>
      <c r="M199" s="60" t="n"/>
      <c r="N199" s="61">
        <f>IF($B199="","",IFERROR(('Grundeinstellungen'!$C$6-'Grundeinstellungen'!$C$7)/LN(('Grundeinstellungen'!$C$6-$E199)/('Grundeinstellungen'!$C$7-$E199)),""))</f>
        <v/>
      </c>
      <c r="O199" s="62">
        <f>IF($B199="","",IFERROR(IFERROR(INDEX('Konstanten'!$B$6:$B$10,MATCH($I199,'Konstanten'!$A$6:$A$10,1))+($I199-INDEX('Konstanten'!$A$6:$A$10,MATCH($I199,'Konstanten'!$A$6:$A$10,1)))/(INDEX('Konstanten'!$A$6:$A$10,MATCH($I199,'Konstanten'!$A$6:$A$10,1)+1)-INDEX('Konstanten'!$A$6:$A$10,MATCH($I199,'Konstanten'!$A$6:$A$10,1)))*(INDEX('Konstanten'!$B$6:$B$10,MATCH($I199,'Konstanten'!$A$6:$A$10,1)+1)-INDEX('Konstanten'!$B$6:$B$10,MATCH($I199,'Konstanten'!$A$6:$A$10,1))),INDEX('Konstanten'!$B$6:$B$10,MATCH($I199,'Konstanten'!$A$6:$A$10,1))),""))</f>
        <v/>
      </c>
      <c r="P199" s="62">
        <f>IF($B199="","",IFERROR(IFERROR(INDEX('Konstanten'!$C$6:$C$10,MATCH($I199,'Konstanten'!$A$6:$A$10,1))+($I199-INDEX('Konstanten'!$A$6:$A$10,MATCH($I199,'Konstanten'!$A$6:$A$10,1)))/(INDEX('Konstanten'!$A$6:$A$10,MATCH($I199,'Konstanten'!$A$6:$A$10,1)+1)-INDEX('Konstanten'!$A$6:$A$10,MATCH($I199,'Konstanten'!$A$6:$A$10,1)))*(INDEX('Konstanten'!$C$6:$C$10,MATCH($I199,'Konstanten'!$A$6:$A$10,1)+1)-INDEX('Konstanten'!$C$6:$C$10,MATCH($I199,'Konstanten'!$A$6:$A$10,1))),INDEX('Konstanten'!$C$6:$C$10,MATCH($I199,'Konstanten'!$A$6:$A$10,1))),""))</f>
        <v/>
      </c>
      <c r="Q199" s="63">
        <f>IF(OR($B199="",$N199="",$O199="",$P199=""),"",'Konstanten'!$C$13*$O199*$P199^(1-($J199/1000)/0.075)*'Konstanten'!$C$14^'Konstanten'!$C$16*'Konstanten'!$C$15^'Konstanten'!$C$17*$N199)</f>
        <v/>
      </c>
      <c r="R199" s="64">
        <f>IF(OR($B199="",$Q199=""),"",$E199+$Q199/'Grundeinstellungen'!$J$6)</f>
        <v/>
      </c>
      <c r="S199" s="64">
        <f>IF($B199="","",IFERROR(VLOOKUP($M199,'Konstanten'!$H$6:$I$13,2,FALSE),29))</f>
        <v/>
      </c>
      <c r="T199" s="65">
        <f>IF(OR($B199="",$Q199=""),"",$Q199*$H199)</f>
        <v/>
      </c>
      <c r="U199" s="66">
        <f>IF(OR($B199="",$T199=""),"",$T199-$F199)</f>
        <v/>
      </c>
      <c r="V199" s="67">
        <f>IF(OR($B199="",$T199=""),"",IFERROR($T199/$F199,""))</f>
        <v/>
      </c>
      <c r="W199" s="65">
        <f>IF(OR($B199="",$H199=""),"",'Grundeinstellungen'!$J$13*$H199)</f>
        <v/>
      </c>
      <c r="X199" s="65">
        <f>IF(OR($B199="",$T199=""),"",MIN($T199,$F199)+$W199)</f>
        <v/>
      </c>
      <c r="Y199" s="68">
        <f>IF($B199="","",IFERROR($H199/($J199/1000),""))</f>
        <v/>
      </c>
      <c r="Z199" s="68">
        <f>IF($B199="","",IFERROR(2*$L199*$K199,""))</f>
        <v/>
      </c>
      <c r="AA199" s="68">
        <f>IF(OR($B199="",$Y199="",$Z199=""),"",$Y199+$Z199)</f>
        <v/>
      </c>
      <c r="AB199" s="68">
        <f>IF(OR($B199="",$AA199=""),"",IFERROR($AA199/$K199,""))</f>
        <v/>
      </c>
      <c r="AC199" s="69">
        <f>IF(OR($B199="",$X199=""),"",IFERROR(($X199/$K199)/('Grundeinstellungen'!$C$16*('Grundeinstellungen'!$C$6-'Grundeinstellungen'!$C$7))*3600,""))</f>
        <v/>
      </c>
      <c r="AD199" s="70">
        <f>IF(OR($B199="",$AC199=""),"",$AC199/'Grundeinstellungen'!$C$15*1000)</f>
        <v/>
      </c>
      <c r="AE199" s="71">
        <f>IF(OR($B199="",$AC199=""),"",IFERROR($AC199/3600/'Grundeinstellungen'!$C$15/'Grundeinstellungen'!$J$22,""))</f>
        <v/>
      </c>
      <c r="AF199" s="72">
        <f>IF(OR($B199="",$AE199=""),"",IFERROR($AE199*'Grundeinstellungen'!$J$21/'Grundeinstellungen'!$C$17,""))</f>
        <v/>
      </c>
      <c r="AG199" s="73">
        <f>IF(OR($B199="",$AF199=""),"",IF($AF199&lt;2300,"laminar",IF($AF199&lt;4000,"Übergangsbereich","turbulent")))</f>
        <v/>
      </c>
      <c r="AH199" s="74">
        <f>IF(OR($B199="",$AF199=""),"",IF($AF199&lt;2300,64/$AF199,0.316/$AF199^0.25))</f>
        <v/>
      </c>
      <c r="AI199" s="75">
        <f>IF(OR($B199="",$AH199="",$AB199=""),"",IFERROR($AH199*($AB199/'Grundeinstellungen'!$J$21)*('Grundeinstellungen'!$C$15/2)*$AE199^2,""))</f>
        <v/>
      </c>
      <c r="AJ199" s="76">
        <f>IF(OR($B199="",$AI199="",$AB199=""),"",IFERROR($AI199/$AB199,""))</f>
        <v/>
      </c>
      <c r="AK199" s="75">
        <f>IF(OR($B199="",$AI199=""),"",$AI199*(1+'Grundeinstellungen'!$C$24)+'Grundeinstellungen'!$C$25)</f>
        <v/>
      </c>
    </row>
    <row r="200">
      <c r="A200" s="51" t="n"/>
      <c r="B200" s="51" t="n"/>
      <c r="C200" s="51" t="n"/>
      <c r="D200" s="52" t="n"/>
      <c r="E200" s="53" t="n"/>
      <c r="F200" s="54" t="n"/>
      <c r="G200" s="55">
        <f>IF($B200="","",IFERROR($F200/$D200,""))</f>
        <v/>
      </c>
      <c r="H200" s="52" t="n"/>
      <c r="I200" s="56" t="n"/>
      <c r="J200" s="57" t="n"/>
      <c r="K200" s="58" t="n"/>
      <c r="L200" s="59" t="n"/>
      <c r="M200" s="60" t="n"/>
      <c r="N200" s="61">
        <f>IF($B200="","",IFERROR(('Grundeinstellungen'!$C$6-'Grundeinstellungen'!$C$7)/LN(('Grundeinstellungen'!$C$6-$E200)/('Grundeinstellungen'!$C$7-$E200)),""))</f>
        <v/>
      </c>
      <c r="O200" s="62">
        <f>IF($B200="","",IFERROR(IFERROR(INDEX('Konstanten'!$B$6:$B$10,MATCH($I200,'Konstanten'!$A$6:$A$10,1))+($I200-INDEX('Konstanten'!$A$6:$A$10,MATCH($I200,'Konstanten'!$A$6:$A$10,1)))/(INDEX('Konstanten'!$A$6:$A$10,MATCH($I200,'Konstanten'!$A$6:$A$10,1)+1)-INDEX('Konstanten'!$A$6:$A$10,MATCH($I200,'Konstanten'!$A$6:$A$10,1)))*(INDEX('Konstanten'!$B$6:$B$10,MATCH($I200,'Konstanten'!$A$6:$A$10,1)+1)-INDEX('Konstanten'!$B$6:$B$10,MATCH($I200,'Konstanten'!$A$6:$A$10,1))),INDEX('Konstanten'!$B$6:$B$10,MATCH($I200,'Konstanten'!$A$6:$A$10,1))),""))</f>
        <v/>
      </c>
      <c r="P200" s="62">
        <f>IF($B200="","",IFERROR(IFERROR(INDEX('Konstanten'!$C$6:$C$10,MATCH($I200,'Konstanten'!$A$6:$A$10,1))+($I200-INDEX('Konstanten'!$A$6:$A$10,MATCH($I200,'Konstanten'!$A$6:$A$10,1)))/(INDEX('Konstanten'!$A$6:$A$10,MATCH($I200,'Konstanten'!$A$6:$A$10,1)+1)-INDEX('Konstanten'!$A$6:$A$10,MATCH($I200,'Konstanten'!$A$6:$A$10,1)))*(INDEX('Konstanten'!$C$6:$C$10,MATCH($I200,'Konstanten'!$A$6:$A$10,1)+1)-INDEX('Konstanten'!$C$6:$C$10,MATCH($I200,'Konstanten'!$A$6:$A$10,1))),INDEX('Konstanten'!$C$6:$C$10,MATCH($I200,'Konstanten'!$A$6:$A$10,1))),""))</f>
        <v/>
      </c>
      <c r="Q200" s="63">
        <f>IF(OR($B200="",$N200="",$O200="",$P200=""),"",'Konstanten'!$C$13*$O200*$P200^(1-($J200/1000)/0.075)*'Konstanten'!$C$14^'Konstanten'!$C$16*'Konstanten'!$C$15^'Konstanten'!$C$17*$N200)</f>
        <v/>
      </c>
      <c r="R200" s="64">
        <f>IF(OR($B200="",$Q200=""),"",$E200+$Q200/'Grundeinstellungen'!$J$6)</f>
        <v/>
      </c>
      <c r="S200" s="64">
        <f>IF($B200="","",IFERROR(VLOOKUP($M200,'Konstanten'!$H$6:$I$13,2,FALSE),29))</f>
        <v/>
      </c>
      <c r="T200" s="65">
        <f>IF(OR($B200="",$Q200=""),"",$Q200*$H200)</f>
        <v/>
      </c>
      <c r="U200" s="66">
        <f>IF(OR($B200="",$T200=""),"",$T200-$F200)</f>
        <v/>
      </c>
      <c r="V200" s="67">
        <f>IF(OR($B200="",$T200=""),"",IFERROR($T200/$F200,""))</f>
        <v/>
      </c>
      <c r="W200" s="65">
        <f>IF(OR($B200="",$H200=""),"",'Grundeinstellungen'!$J$13*$H200)</f>
        <v/>
      </c>
      <c r="X200" s="65">
        <f>IF(OR($B200="",$T200=""),"",MIN($T200,$F200)+$W200)</f>
        <v/>
      </c>
      <c r="Y200" s="68">
        <f>IF($B200="","",IFERROR($H200/($J200/1000),""))</f>
        <v/>
      </c>
      <c r="Z200" s="68">
        <f>IF($B200="","",IFERROR(2*$L200*$K200,""))</f>
        <v/>
      </c>
      <c r="AA200" s="68">
        <f>IF(OR($B200="",$Y200="",$Z200=""),"",$Y200+$Z200)</f>
        <v/>
      </c>
      <c r="AB200" s="68">
        <f>IF(OR($B200="",$AA200=""),"",IFERROR($AA200/$K200,""))</f>
        <v/>
      </c>
      <c r="AC200" s="69">
        <f>IF(OR($B200="",$X200=""),"",IFERROR(($X200/$K200)/('Grundeinstellungen'!$C$16*('Grundeinstellungen'!$C$6-'Grundeinstellungen'!$C$7))*3600,""))</f>
        <v/>
      </c>
      <c r="AD200" s="70">
        <f>IF(OR($B200="",$AC200=""),"",$AC200/'Grundeinstellungen'!$C$15*1000)</f>
        <v/>
      </c>
      <c r="AE200" s="71">
        <f>IF(OR($B200="",$AC200=""),"",IFERROR($AC200/3600/'Grundeinstellungen'!$C$15/'Grundeinstellungen'!$J$22,""))</f>
        <v/>
      </c>
      <c r="AF200" s="72">
        <f>IF(OR($B200="",$AE200=""),"",IFERROR($AE200*'Grundeinstellungen'!$J$21/'Grundeinstellungen'!$C$17,""))</f>
        <v/>
      </c>
      <c r="AG200" s="73">
        <f>IF(OR($B200="",$AF200=""),"",IF($AF200&lt;2300,"laminar",IF($AF200&lt;4000,"Übergangsbereich","turbulent")))</f>
        <v/>
      </c>
      <c r="AH200" s="74">
        <f>IF(OR($B200="",$AF200=""),"",IF($AF200&lt;2300,64/$AF200,0.316/$AF200^0.25))</f>
        <v/>
      </c>
      <c r="AI200" s="75">
        <f>IF(OR($B200="",$AH200="",$AB200=""),"",IFERROR($AH200*($AB200/'Grundeinstellungen'!$J$21)*('Grundeinstellungen'!$C$15/2)*$AE200^2,""))</f>
        <v/>
      </c>
      <c r="AJ200" s="76">
        <f>IF(OR($B200="",$AI200="",$AB200=""),"",IFERROR($AI200/$AB200,""))</f>
        <v/>
      </c>
      <c r="AK200" s="75">
        <f>IF(OR($B200="",$AI200=""),"",$AI200*(1+'Grundeinstellungen'!$C$24)+'Grundeinstellungen'!$C$25)</f>
        <v/>
      </c>
    </row>
    <row r="201">
      <c r="A201" s="51" t="n"/>
      <c r="B201" s="51" t="n"/>
      <c r="C201" s="51" t="n"/>
      <c r="D201" s="52" t="n"/>
      <c r="E201" s="53" t="n"/>
      <c r="F201" s="54" t="n"/>
      <c r="G201" s="55">
        <f>IF($B201="","",IFERROR($F201/$D201,""))</f>
        <v/>
      </c>
      <c r="H201" s="52" t="n"/>
      <c r="I201" s="56" t="n"/>
      <c r="J201" s="57" t="n"/>
      <c r="K201" s="58" t="n"/>
      <c r="L201" s="59" t="n"/>
      <c r="M201" s="60" t="n"/>
      <c r="N201" s="61">
        <f>IF($B201="","",IFERROR(('Grundeinstellungen'!$C$6-'Grundeinstellungen'!$C$7)/LN(('Grundeinstellungen'!$C$6-$E201)/('Grundeinstellungen'!$C$7-$E201)),""))</f>
        <v/>
      </c>
      <c r="O201" s="62">
        <f>IF($B201="","",IFERROR(IFERROR(INDEX('Konstanten'!$B$6:$B$10,MATCH($I201,'Konstanten'!$A$6:$A$10,1))+($I201-INDEX('Konstanten'!$A$6:$A$10,MATCH($I201,'Konstanten'!$A$6:$A$10,1)))/(INDEX('Konstanten'!$A$6:$A$10,MATCH($I201,'Konstanten'!$A$6:$A$10,1)+1)-INDEX('Konstanten'!$A$6:$A$10,MATCH($I201,'Konstanten'!$A$6:$A$10,1)))*(INDEX('Konstanten'!$B$6:$B$10,MATCH($I201,'Konstanten'!$A$6:$A$10,1)+1)-INDEX('Konstanten'!$B$6:$B$10,MATCH($I201,'Konstanten'!$A$6:$A$10,1))),INDEX('Konstanten'!$B$6:$B$10,MATCH($I201,'Konstanten'!$A$6:$A$10,1))),""))</f>
        <v/>
      </c>
      <c r="P201" s="62">
        <f>IF($B201="","",IFERROR(IFERROR(INDEX('Konstanten'!$C$6:$C$10,MATCH($I201,'Konstanten'!$A$6:$A$10,1))+($I201-INDEX('Konstanten'!$A$6:$A$10,MATCH($I201,'Konstanten'!$A$6:$A$10,1)))/(INDEX('Konstanten'!$A$6:$A$10,MATCH($I201,'Konstanten'!$A$6:$A$10,1)+1)-INDEX('Konstanten'!$A$6:$A$10,MATCH($I201,'Konstanten'!$A$6:$A$10,1)))*(INDEX('Konstanten'!$C$6:$C$10,MATCH($I201,'Konstanten'!$A$6:$A$10,1)+1)-INDEX('Konstanten'!$C$6:$C$10,MATCH($I201,'Konstanten'!$A$6:$A$10,1))),INDEX('Konstanten'!$C$6:$C$10,MATCH($I201,'Konstanten'!$A$6:$A$10,1))),""))</f>
        <v/>
      </c>
      <c r="Q201" s="63">
        <f>IF(OR($B201="",$N201="",$O201="",$P201=""),"",'Konstanten'!$C$13*$O201*$P201^(1-($J201/1000)/0.075)*'Konstanten'!$C$14^'Konstanten'!$C$16*'Konstanten'!$C$15^'Konstanten'!$C$17*$N201)</f>
        <v/>
      </c>
      <c r="R201" s="64">
        <f>IF(OR($B201="",$Q201=""),"",$E201+$Q201/'Grundeinstellungen'!$J$6)</f>
        <v/>
      </c>
      <c r="S201" s="64">
        <f>IF($B201="","",IFERROR(VLOOKUP($M201,'Konstanten'!$H$6:$I$13,2,FALSE),29))</f>
        <v/>
      </c>
      <c r="T201" s="65">
        <f>IF(OR($B201="",$Q201=""),"",$Q201*$H201)</f>
        <v/>
      </c>
      <c r="U201" s="66">
        <f>IF(OR($B201="",$T201=""),"",$T201-$F201)</f>
        <v/>
      </c>
      <c r="V201" s="67">
        <f>IF(OR($B201="",$T201=""),"",IFERROR($T201/$F201,""))</f>
        <v/>
      </c>
      <c r="W201" s="65">
        <f>IF(OR($B201="",$H201=""),"",'Grundeinstellungen'!$J$13*$H201)</f>
        <v/>
      </c>
      <c r="X201" s="65">
        <f>IF(OR($B201="",$T201=""),"",MIN($T201,$F201)+$W201)</f>
        <v/>
      </c>
      <c r="Y201" s="68">
        <f>IF($B201="","",IFERROR($H201/($J201/1000),""))</f>
        <v/>
      </c>
      <c r="Z201" s="68">
        <f>IF($B201="","",IFERROR(2*$L201*$K201,""))</f>
        <v/>
      </c>
      <c r="AA201" s="68">
        <f>IF(OR($B201="",$Y201="",$Z201=""),"",$Y201+$Z201)</f>
        <v/>
      </c>
      <c r="AB201" s="68">
        <f>IF(OR($B201="",$AA201=""),"",IFERROR($AA201/$K201,""))</f>
        <v/>
      </c>
      <c r="AC201" s="69">
        <f>IF(OR($B201="",$X201=""),"",IFERROR(($X201/$K201)/('Grundeinstellungen'!$C$16*('Grundeinstellungen'!$C$6-'Grundeinstellungen'!$C$7))*3600,""))</f>
        <v/>
      </c>
      <c r="AD201" s="70">
        <f>IF(OR($B201="",$AC201=""),"",$AC201/'Grundeinstellungen'!$C$15*1000)</f>
        <v/>
      </c>
      <c r="AE201" s="71">
        <f>IF(OR($B201="",$AC201=""),"",IFERROR($AC201/3600/'Grundeinstellungen'!$C$15/'Grundeinstellungen'!$J$22,""))</f>
        <v/>
      </c>
      <c r="AF201" s="72">
        <f>IF(OR($B201="",$AE201=""),"",IFERROR($AE201*'Grundeinstellungen'!$J$21/'Grundeinstellungen'!$C$17,""))</f>
        <v/>
      </c>
      <c r="AG201" s="73">
        <f>IF(OR($B201="",$AF201=""),"",IF($AF201&lt;2300,"laminar",IF($AF201&lt;4000,"Übergangsbereich","turbulent")))</f>
        <v/>
      </c>
      <c r="AH201" s="74">
        <f>IF(OR($B201="",$AF201=""),"",IF($AF201&lt;2300,64/$AF201,0.316/$AF201^0.25))</f>
        <v/>
      </c>
      <c r="AI201" s="75">
        <f>IF(OR($B201="",$AH201="",$AB201=""),"",IFERROR($AH201*($AB201/'Grundeinstellungen'!$J$21)*('Grundeinstellungen'!$C$15/2)*$AE201^2,""))</f>
        <v/>
      </c>
      <c r="AJ201" s="76">
        <f>IF(OR($B201="",$AI201="",$AB201=""),"",IFERROR($AI201/$AB201,""))</f>
        <v/>
      </c>
      <c r="AK201" s="75">
        <f>IF(OR($B201="",$AI201=""),"",$AI201*(1+'Grundeinstellungen'!$C$24)+'Grundeinstellungen'!$C$25)</f>
        <v/>
      </c>
    </row>
    <row r="202">
      <c r="A202" s="51" t="n"/>
      <c r="B202" s="51" t="n"/>
      <c r="C202" s="51" t="n"/>
      <c r="D202" s="52" t="n"/>
      <c r="E202" s="53" t="n"/>
      <c r="F202" s="54" t="n"/>
      <c r="G202" s="55">
        <f>IF($B202="","",IFERROR($F202/$D202,""))</f>
        <v/>
      </c>
      <c r="H202" s="52" t="n"/>
      <c r="I202" s="56" t="n"/>
      <c r="J202" s="57" t="n"/>
      <c r="K202" s="58" t="n"/>
      <c r="L202" s="59" t="n"/>
      <c r="M202" s="60" t="n"/>
      <c r="N202" s="61">
        <f>IF($B202="","",IFERROR(('Grundeinstellungen'!$C$6-'Grundeinstellungen'!$C$7)/LN(('Grundeinstellungen'!$C$6-$E202)/('Grundeinstellungen'!$C$7-$E202)),""))</f>
        <v/>
      </c>
      <c r="O202" s="62">
        <f>IF($B202="","",IFERROR(IFERROR(INDEX('Konstanten'!$B$6:$B$10,MATCH($I202,'Konstanten'!$A$6:$A$10,1))+($I202-INDEX('Konstanten'!$A$6:$A$10,MATCH($I202,'Konstanten'!$A$6:$A$10,1)))/(INDEX('Konstanten'!$A$6:$A$10,MATCH($I202,'Konstanten'!$A$6:$A$10,1)+1)-INDEX('Konstanten'!$A$6:$A$10,MATCH($I202,'Konstanten'!$A$6:$A$10,1)))*(INDEX('Konstanten'!$B$6:$B$10,MATCH($I202,'Konstanten'!$A$6:$A$10,1)+1)-INDEX('Konstanten'!$B$6:$B$10,MATCH($I202,'Konstanten'!$A$6:$A$10,1))),INDEX('Konstanten'!$B$6:$B$10,MATCH($I202,'Konstanten'!$A$6:$A$10,1))),""))</f>
        <v/>
      </c>
      <c r="P202" s="62">
        <f>IF($B202="","",IFERROR(IFERROR(INDEX('Konstanten'!$C$6:$C$10,MATCH($I202,'Konstanten'!$A$6:$A$10,1))+($I202-INDEX('Konstanten'!$A$6:$A$10,MATCH($I202,'Konstanten'!$A$6:$A$10,1)))/(INDEX('Konstanten'!$A$6:$A$10,MATCH($I202,'Konstanten'!$A$6:$A$10,1)+1)-INDEX('Konstanten'!$A$6:$A$10,MATCH($I202,'Konstanten'!$A$6:$A$10,1)))*(INDEX('Konstanten'!$C$6:$C$10,MATCH($I202,'Konstanten'!$A$6:$A$10,1)+1)-INDEX('Konstanten'!$C$6:$C$10,MATCH($I202,'Konstanten'!$A$6:$A$10,1))),INDEX('Konstanten'!$C$6:$C$10,MATCH($I202,'Konstanten'!$A$6:$A$10,1))),""))</f>
        <v/>
      </c>
      <c r="Q202" s="63">
        <f>IF(OR($B202="",$N202="",$O202="",$P202=""),"",'Konstanten'!$C$13*$O202*$P202^(1-($J202/1000)/0.075)*'Konstanten'!$C$14^'Konstanten'!$C$16*'Konstanten'!$C$15^'Konstanten'!$C$17*$N202)</f>
        <v/>
      </c>
      <c r="R202" s="64">
        <f>IF(OR($B202="",$Q202=""),"",$E202+$Q202/'Grundeinstellungen'!$J$6)</f>
        <v/>
      </c>
      <c r="S202" s="64">
        <f>IF($B202="","",IFERROR(VLOOKUP($M202,'Konstanten'!$H$6:$I$13,2,FALSE),29))</f>
        <v/>
      </c>
      <c r="T202" s="65">
        <f>IF(OR($B202="",$Q202=""),"",$Q202*$H202)</f>
        <v/>
      </c>
      <c r="U202" s="66">
        <f>IF(OR($B202="",$T202=""),"",$T202-$F202)</f>
        <v/>
      </c>
      <c r="V202" s="67">
        <f>IF(OR($B202="",$T202=""),"",IFERROR($T202/$F202,""))</f>
        <v/>
      </c>
      <c r="W202" s="65">
        <f>IF(OR($B202="",$H202=""),"",'Grundeinstellungen'!$J$13*$H202)</f>
        <v/>
      </c>
      <c r="X202" s="65">
        <f>IF(OR($B202="",$T202=""),"",MIN($T202,$F202)+$W202)</f>
        <v/>
      </c>
      <c r="Y202" s="68">
        <f>IF($B202="","",IFERROR($H202/($J202/1000),""))</f>
        <v/>
      </c>
      <c r="Z202" s="68">
        <f>IF($B202="","",IFERROR(2*$L202*$K202,""))</f>
        <v/>
      </c>
      <c r="AA202" s="68">
        <f>IF(OR($B202="",$Y202="",$Z202=""),"",$Y202+$Z202)</f>
        <v/>
      </c>
      <c r="AB202" s="68">
        <f>IF(OR($B202="",$AA202=""),"",IFERROR($AA202/$K202,""))</f>
        <v/>
      </c>
      <c r="AC202" s="69">
        <f>IF(OR($B202="",$X202=""),"",IFERROR(($X202/$K202)/('Grundeinstellungen'!$C$16*('Grundeinstellungen'!$C$6-'Grundeinstellungen'!$C$7))*3600,""))</f>
        <v/>
      </c>
      <c r="AD202" s="70">
        <f>IF(OR($B202="",$AC202=""),"",$AC202/'Grundeinstellungen'!$C$15*1000)</f>
        <v/>
      </c>
      <c r="AE202" s="71">
        <f>IF(OR($B202="",$AC202=""),"",IFERROR($AC202/3600/'Grundeinstellungen'!$C$15/'Grundeinstellungen'!$J$22,""))</f>
        <v/>
      </c>
      <c r="AF202" s="72">
        <f>IF(OR($B202="",$AE202=""),"",IFERROR($AE202*'Grundeinstellungen'!$J$21/'Grundeinstellungen'!$C$17,""))</f>
        <v/>
      </c>
      <c r="AG202" s="73">
        <f>IF(OR($B202="",$AF202=""),"",IF($AF202&lt;2300,"laminar",IF($AF202&lt;4000,"Übergangsbereich","turbulent")))</f>
        <v/>
      </c>
      <c r="AH202" s="74">
        <f>IF(OR($B202="",$AF202=""),"",IF($AF202&lt;2300,64/$AF202,0.316/$AF202^0.25))</f>
        <v/>
      </c>
      <c r="AI202" s="75">
        <f>IF(OR($B202="",$AH202="",$AB202=""),"",IFERROR($AH202*($AB202/'Grundeinstellungen'!$J$21)*('Grundeinstellungen'!$C$15/2)*$AE202^2,""))</f>
        <v/>
      </c>
      <c r="AJ202" s="76">
        <f>IF(OR($B202="",$AI202="",$AB202=""),"",IFERROR($AI202/$AB202,""))</f>
        <v/>
      </c>
      <c r="AK202" s="75">
        <f>IF(OR($B202="",$AI202=""),"",$AI202*(1+'Grundeinstellungen'!$C$24)+'Grundeinstellungen'!$C$25)</f>
        <v/>
      </c>
    </row>
    <row r="203">
      <c r="A203" s="51" t="n"/>
      <c r="B203" s="51" t="n"/>
      <c r="C203" s="51" t="n"/>
      <c r="D203" s="52" t="n"/>
      <c r="E203" s="53" t="n"/>
      <c r="F203" s="54" t="n"/>
      <c r="G203" s="55">
        <f>IF($B203="","",IFERROR($F203/$D203,""))</f>
        <v/>
      </c>
      <c r="H203" s="52" t="n"/>
      <c r="I203" s="56" t="n"/>
      <c r="J203" s="57" t="n"/>
      <c r="K203" s="58" t="n"/>
      <c r="L203" s="59" t="n"/>
      <c r="M203" s="60" t="n"/>
      <c r="N203" s="61">
        <f>IF($B203="","",IFERROR(('Grundeinstellungen'!$C$6-'Grundeinstellungen'!$C$7)/LN(('Grundeinstellungen'!$C$6-$E203)/('Grundeinstellungen'!$C$7-$E203)),""))</f>
        <v/>
      </c>
      <c r="O203" s="62">
        <f>IF($B203="","",IFERROR(IFERROR(INDEX('Konstanten'!$B$6:$B$10,MATCH($I203,'Konstanten'!$A$6:$A$10,1))+($I203-INDEX('Konstanten'!$A$6:$A$10,MATCH($I203,'Konstanten'!$A$6:$A$10,1)))/(INDEX('Konstanten'!$A$6:$A$10,MATCH($I203,'Konstanten'!$A$6:$A$10,1)+1)-INDEX('Konstanten'!$A$6:$A$10,MATCH($I203,'Konstanten'!$A$6:$A$10,1)))*(INDEX('Konstanten'!$B$6:$B$10,MATCH($I203,'Konstanten'!$A$6:$A$10,1)+1)-INDEX('Konstanten'!$B$6:$B$10,MATCH($I203,'Konstanten'!$A$6:$A$10,1))),INDEX('Konstanten'!$B$6:$B$10,MATCH($I203,'Konstanten'!$A$6:$A$10,1))),""))</f>
        <v/>
      </c>
      <c r="P203" s="62">
        <f>IF($B203="","",IFERROR(IFERROR(INDEX('Konstanten'!$C$6:$C$10,MATCH($I203,'Konstanten'!$A$6:$A$10,1))+($I203-INDEX('Konstanten'!$A$6:$A$10,MATCH($I203,'Konstanten'!$A$6:$A$10,1)))/(INDEX('Konstanten'!$A$6:$A$10,MATCH($I203,'Konstanten'!$A$6:$A$10,1)+1)-INDEX('Konstanten'!$A$6:$A$10,MATCH($I203,'Konstanten'!$A$6:$A$10,1)))*(INDEX('Konstanten'!$C$6:$C$10,MATCH($I203,'Konstanten'!$A$6:$A$10,1)+1)-INDEX('Konstanten'!$C$6:$C$10,MATCH($I203,'Konstanten'!$A$6:$A$10,1))),INDEX('Konstanten'!$C$6:$C$10,MATCH($I203,'Konstanten'!$A$6:$A$10,1))),""))</f>
        <v/>
      </c>
      <c r="Q203" s="63">
        <f>IF(OR($B203="",$N203="",$O203="",$P203=""),"",'Konstanten'!$C$13*$O203*$P203^(1-($J203/1000)/0.075)*'Konstanten'!$C$14^'Konstanten'!$C$16*'Konstanten'!$C$15^'Konstanten'!$C$17*$N203)</f>
        <v/>
      </c>
      <c r="R203" s="64">
        <f>IF(OR($B203="",$Q203=""),"",$E203+$Q203/'Grundeinstellungen'!$J$6)</f>
        <v/>
      </c>
      <c r="S203" s="64">
        <f>IF($B203="","",IFERROR(VLOOKUP($M203,'Konstanten'!$H$6:$I$13,2,FALSE),29))</f>
        <v/>
      </c>
      <c r="T203" s="65">
        <f>IF(OR($B203="",$Q203=""),"",$Q203*$H203)</f>
        <v/>
      </c>
      <c r="U203" s="66">
        <f>IF(OR($B203="",$T203=""),"",$T203-$F203)</f>
        <v/>
      </c>
      <c r="V203" s="67">
        <f>IF(OR($B203="",$T203=""),"",IFERROR($T203/$F203,""))</f>
        <v/>
      </c>
      <c r="W203" s="65">
        <f>IF(OR($B203="",$H203=""),"",'Grundeinstellungen'!$J$13*$H203)</f>
        <v/>
      </c>
      <c r="X203" s="65">
        <f>IF(OR($B203="",$T203=""),"",MIN($T203,$F203)+$W203)</f>
        <v/>
      </c>
      <c r="Y203" s="68">
        <f>IF($B203="","",IFERROR($H203/($J203/1000),""))</f>
        <v/>
      </c>
      <c r="Z203" s="68">
        <f>IF($B203="","",IFERROR(2*$L203*$K203,""))</f>
        <v/>
      </c>
      <c r="AA203" s="68">
        <f>IF(OR($B203="",$Y203="",$Z203=""),"",$Y203+$Z203)</f>
        <v/>
      </c>
      <c r="AB203" s="68">
        <f>IF(OR($B203="",$AA203=""),"",IFERROR($AA203/$K203,""))</f>
        <v/>
      </c>
      <c r="AC203" s="69">
        <f>IF(OR($B203="",$X203=""),"",IFERROR(($X203/$K203)/('Grundeinstellungen'!$C$16*('Grundeinstellungen'!$C$6-'Grundeinstellungen'!$C$7))*3600,""))</f>
        <v/>
      </c>
      <c r="AD203" s="70">
        <f>IF(OR($B203="",$AC203=""),"",$AC203/'Grundeinstellungen'!$C$15*1000)</f>
        <v/>
      </c>
      <c r="AE203" s="71">
        <f>IF(OR($B203="",$AC203=""),"",IFERROR($AC203/3600/'Grundeinstellungen'!$C$15/'Grundeinstellungen'!$J$22,""))</f>
        <v/>
      </c>
      <c r="AF203" s="72">
        <f>IF(OR($B203="",$AE203=""),"",IFERROR($AE203*'Grundeinstellungen'!$J$21/'Grundeinstellungen'!$C$17,""))</f>
        <v/>
      </c>
      <c r="AG203" s="73">
        <f>IF(OR($B203="",$AF203=""),"",IF($AF203&lt;2300,"laminar",IF($AF203&lt;4000,"Übergangsbereich","turbulent")))</f>
        <v/>
      </c>
      <c r="AH203" s="74">
        <f>IF(OR($B203="",$AF203=""),"",IF($AF203&lt;2300,64/$AF203,0.316/$AF203^0.25))</f>
        <v/>
      </c>
      <c r="AI203" s="75">
        <f>IF(OR($B203="",$AH203="",$AB203=""),"",IFERROR($AH203*($AB203/'Grundeinstellungen'!$J$21)*('Grundeinstellungen'!$C$15/2)*$AE203^2,""))</f>
        <v/>
      </c>
      <c r="AJ203" s="76">
        <f>IF(OR($B203="",$AI203="",$AB203=""),"",IFERROR($AI203/$AB203,""))</f>
        <v/>
      </c>
      <c r="AK203" s="75">
        <f>IF(OR($B203="",$AI203=""),"",$AI203*(1+'Grundeinstellungen'!$C$24)+'Grundeinstellungen'!$C$25)</f>
        <v/>
      </c>
    </row>
    <row r="204">
      <c r="A204" s="51" t="n"/>
      <c r="B204" s="51" t="n"/>
      <c r="C204" s="51" t="n"/>
      <c r="D204" s="52" t="n"/>
      <c r="E204" s="53" t="n"/>
      <c r="F204" s="54" t="n"/>
      <c r="G204" s="55">
        <f>IF($B204="","",IFERROR($F204/$D204,""))</f>
        <v/>
      </c>
      <c r="H204" s="52" t="n"/>
      <c r="I204" s="56" t="n"/>
      <c r="J204" s="57" t="n"/>
      <c r="K204" s="58" t="n"/>
      <c r="L204" s="59" t="n"/>
      <c r="M204" s="60" t="n"/>
      <c r="N204" s="61">
        <f>IF($B204="","",IFERROR(('Grundeinstellungen'!$C$6-'Grundeinstellungen'!$C$7)/LN(('Grundeinstellungen'!$C$6-$E204)/('Grundeinstellungen'!$C$7-$E204)),""))</f>
        <v/>
      </c>
      <c r="O204" s="62">
        <f>IF($B204="","",IFERROR(IFERROR(INDEX('Konstanten'!$B$6:$B$10,MATCH($I204,'Konstanten'!$A$6:$A$10,1))+($I204-INDEX('Konstanten'!$A$6:$A$10,MATCH($I204,'Konstanten'!$A$6:$A$10,1)))/(INDEX('Konstanten'!$A$6:$A$10,MATCH($I204,'Konstanten'!$A$6:$A$10,1)+1)-INDEX('Konstanten'!$A$6:$A$10,MATCH($I204,'Konstanten'!$A$6:$A$10,1)))*(INDEX('Konstanten'!$B$6:$B$10,MATCH($I204,'Konstanten'!$A$6:$A$10,1)+1)-INDEX('Konstanten'!$B$6:$B$10,MATCH($I204,'Konstanten'!$A$6:$A$10,1))),INDEX('Konstanten'!$B$6:$B$10,MATCH($I204,'Konstanten'!$A$6:$A$10,1))),""))</f>
        <v/>
      </c>
      <c r="P204" s="62">
        <f>IF($B204="","",IFERROR(IFERROR(INDEX('Konstanten'!$C$6:$C$10,MATCH($I204,'Konstanten'!$A$6:$A$10,1))+($I204-INDEX('Konstanten'!$A$6:$A$10,MATCH($I204,'Konstanten'!$A$6:$A$10,1)))/(INDEX('Konstanten'!$A$6:$A$10,MATCH($I204,'Konstanten'!$A$6:$A$10,1)+1)-INDEX('Konstanten'!$A$6:$A$10,MATCH($I204,'Konstanten'!$A$6:$A$10,1)))*(INDEX('Konstanten'!$C$6:$C$10,MATCH($I204,'Konstanten'!$A$6:$A$10,1)+1)-INDEX('Konstanten'!$C$6:$C$10,MATCH($I204,'Konstanten'!$A$6:$A$10,1))),INDEX('Konstanten'!$C$6:$C$10,MATCH($I204,'Konstanten'!$A$6:$A$10,1))),""))</f>
        <v/>
      </c>
      <c r="Q204" s="63">
        <f>IF(OR($B204="",$N204="",$O204="",$P204=""),"",'Konstanten'!$C$13*$O204*$P204^(1-($J204/1000)/0.075)*'Konstanten'!$C$14^'Konstanten'!$C$16*'Konstanten'!$C$15^'Konstanten'!$C$17*$N204)</f>
        <v/>
      </c>
      <c r="R204" s="64">
        <f>IF(OR($B204="",$Q204=""),"",$E204+$Q204/'Grundeinstellungen'!$J$6)</f>
        <v/>
      </c>
      <c r="S204" s="64">
        <f>IF($B204="","",IFERROR(VLOOKUP($M204,'Konstanten'!$H$6:$I$13,2,FALSE),29))</f>
        <v/>
      </c>
      <c r="T204" s="65">
        <f>IF(OR($B204="",$Q204=""),"",$Q204*$H204)</f>
        <v/>
      </c>
      <c r="U204" s="66">
        <f>IF(OR($B204="",$T204=""),"",$T204-$F204)</f>
        <v/>
      </c>
      <c r="V204" s="67">
        <f>IF(OR($B204="",$T204=""),"",IFERROR($T204/$F204,""))</f>
        <v/>
      </c>
      <c r="W204" s="65">
        <f>IF(OR($B204="",$H204=""),"",'Grundeinstellungen'!$J$13*$H204)</f>
        <v/>
      </c>
      <c r="X204" s="65">
        <f>IF(OR($B204="",$T204=""),"",MIN($T204,$F204)+$W204)</f>
        <v/>
      </c>
      <c r="Y204" s="68">
        <f>IF($B204="","",IFERROR($H204/($J204/1000),""))</f>
        <v/>
      </c>
      <c r="Z204" s="68">
        <f>IF($B204="","",IFERROR(2*$L204*$K204,""))</f>
        <v/>
      </c>
      <c r="AA204" s="68">
        <f>IF(OR($B204="",$Y204="",$Z204=""),"",$Y204+$Z204)</f>
        <v/>
      </c>
      <c r="AB204" s="68">
        <f>IF(OR($B204="",$AA204=""),"",IFERROR($AA204/$K204,""))</f>
        <v/>
      </c>
      <c r="AC204" s="69">
        <f>IF(OR($B204="",$X204=""),"",IFERROR(($X204/$K204)/('Grundeinstellungen'!$C$16*('Grundeinstellungen'!$C$6-'Grundeinstellungen'!$C$7))*3600,""))</f>
        <v/>
      </c>
      <c r="AD204" s="70">
        <f>IF(OR($B204="",$AC204=""),"",$AC204/'Grundeinstellungen'!$C$15*1000)</f>
        <v/>
      </c>
      <c r="AE204" s="71">
        <f>IF(OR($B204="",$AC204=""),"",IFERROR($AC204/3600/'Grundeinstellungen'!$C$15/'Grundeinstellungen'!$J$22,""))</f>
        <v/>
      </c>
      <c r="AF204" s="72">
        <f>IF(OR($B204="",$AE204=""),"",IFERROR($AE204*'Grundeinstellungen'!$J$21/'Grundeinstellungen'!$C$17,""))</f>
        <v/>
      </c>
      <c r="AG204" s="73">
        <f>IF(OR($B204="",$AF204=""),"",IF($AF204&lt;2300,"laminar",IF($AF204&lt;4000,"Übergangsbereich","turbulent")))</f>
        <v/>
      </c>
      <c r="AH204" s="74">
        <f>IF(OR($B204="",$AF204=""),"",IF($AF204&lt;2300,64/$AF204,0.316/$AF204^0.25))</f>
        <v/>
      </c>
      <c r="AI204" s="75">
        <f>IF(OR($B204="",$AH204="",$AB204=""),"",IFERROR($AH204*($AB204/'Grundeinstellungen'!$J$21)*('Grundeinstellungen'!$C$15/2)*$AE204^2,""))</f>
        <v/>
      </c>
      <c r="AJ204" s="76">
        <f>IF(OR($B204="",$AI204="",$AB204=""),"",IFERROR($AI204/$AB204,""))</f>
        <v/>
      </c>
      <c r="AK204" s="75">
        <f>IF(OR($B204="",$AI204=""),"",$AI204*(1+'Grundeinstellungen'!$C$24)+'Grundeinstellungen'!$C$25)</f>
        <v/>
      </c>
    </row>
    <row r="205">
      <c r="A205" s="51" t="n"/>
      <c r="B205" s="51" t="n"/>
      <c r="C205" s="51" t="n"/>
      <c r="D205" s="52" t="n"/>
      <c r="E205" s="53" t="n"/>
      <c r="F205" s="54" t="n"/>
      <c r="G205" s="55">
        <f>IF($B205="","",IFERROR($F205/$D205,""))</f>
        <v/>
      </c>
      <c r="H205" s="52" t="n"/>
      <c r="I205" s="56" t="n"/>
      <c r="J205" s="57" t="n"/>
      <c r="K205" s="58" t="n"/>
      <c r="L205" s="59" t="n"/>
      <c r="M205" s="60" t="n"/>
      <c r="N205" s="61">
        <f>IF($B205="","",IFERROR(('Grundeinstellungen'!$C$6-'Grundeinstellungen'!$C$7)/LN(('Grundeinstellungen'!$C$6-$E205)/('Grundeinstellungen'!$C$7-$E205)),""))</f>
        <v/>
      </c>
      <c r="O205" s="62">
        <f>IF($B205="","",IFERROR(IFERROR(INDEX('Konstanten'!$B$6:$B$10,MATCH($I205,'Konstanten'!$A$6:$A$10,1))+($I205-INDEX('Konstanten'!$A$6:$A$10,MATCH($I205,'Konstanten'!$A$6:$A$10,1)))/(INDEX('Konstanten'!$A$6:$A$10,MATCH($I205,'Konstanten'!$A$6:$A$10,1)+1)-INDEX('Konstanten'!$A$6:$A$10,MATCH($I205,'Konstanten'!$A$6:$A$10,1)))*(INDEX('Konstanten'!$B$6:$B$10,MATCH($I205,'Konstanten'!$A$6:$A$10,1)+1)-INDEX('Konstanten'!$B$6:$B$10,MATCH($I205,'Konstanten'!$A$6:$A$10,1))),INDEX('Konstanten'!$B$6:$B$10,MATCH($I205,'Konstanten'!$A$6:$A$10,1))),""))</f>
        <v/>
      </c>
      <c r="P205" s="62">
        <f>IF($B205="","",IFERROR(IFERROR(INDEX('Konstanten'!$C$6:$C$10,MATCH($I205,'Konstanten'!$A$6:$A$10,1))+($I205-INDEX('Konstanten'!$A$6:$A$10,MATCH($I205,'Konstanten'!$A$6:$A$10,1)))/(INDEX('Konstanten'!$A$6:$A$10,MATCH($I205,'Konstanten'!$A$6:$A$10,1)+1)-INDEX('Konstanten'!$A$6:$A$10,MATCH($I205,'Konstanten'!$A$6:$A$10,1)))*(INDEX('Konstanten'!$C$6:$C$10,MATCH($I205,'Konstanten'!$A$6:$A$10,1)+1)-INDEX('Konstanten'!$C$6:$C$10,MATCH($I205,'Konstanten'!$A$6:$A$10,1))),INDEX('Konstanten'!$C$6:$C$10,MATCH($I205,'Konstanten'!$A$6:$A$10,1))),""))</f>
        <v/>
      </c>
      <c r="Q205" s="63">
        <f>IF(OR($B205="",$N205="",$O205="",$P205=""),"",'Konstanten'!$C$13*$O205*$P205^(1-($J205/1000)/0.075)*'Konstanten'!$C$14^'Konstanten'!$C$16*'Konstanten'!$C$15^'Konstanten'!$C$17*$N205)</f>
        <v/>
      </c>
      <c r="R205" s="64">
        <f>IF(OR($B205="",$Q205=""),"",$E205+$Q205/'Grundeinstellungen'!$J$6)</f>
        <v/>
      </c>
      <c r="S205" s="64">
        <f>IF($B205="","",IFERROR(VLOOKUP($M205,'Konstanten'!$H$6:$I$13,2,FALSE),29))</f>
        <v/>
      </c>
      <c r="T205" s="65">
        <f>IF(OR($B205="",$Q205=""),"",$Q205*$H205)</f>
        <v/>
      </c>
      <c r="U205" s="66">
        <f>IF(OR($B205="",$T205=""),"",$T205-$F205)</f>
        <v/>
      </c>
      <c r="V205" s="67">
        <f>IF(OR($B205="",$T205=""),"",IFERROR($T205/$F205,""))</f>
        <v/>
      </c>
      <c r="W205" s="65">
        <f>IF(OR($B205="",$H205=""),"",'Grundeinstellungen'!$J$13*$H205)</f>
        <v/>
      </c>
      <c r="X205" s="65">
        <f>IF(OR($B205="",$T205=""),"",MIN($T205,$F205)+$W205)</f>
        <v/>
      </c>
      <c r="Y205" s="68">
        <f>IF($B205="","",IFERROR($H205/($J205/1000),""))</f>
        <v/>
      </c>
      <c r="Z205" s="68">
        <f>IF($B205="","",IFERROR(2*$L205*$K205,""))</f>
        <v/>
      </c>
      <c r="AA205" s="68">
        <f>IF(OR($B205="",$Y205="",$Z205=""),"",$Y205+$Z205)</f>
        <v/>
      </c>
      <c r="AB205" s="68">
        <f>IF(OR($B205="",$AA205=""),"",IFERROR($AA205/$K205,""))</f>
        <v/>
      </c>
      <c r="AC205" s="69">
        <f>IF(OR($B205="",$X205=""),"",IFERROR(($X205/$K205)/('Grundeinstellungen'!$C$16*('Grundeinstellungen'!$C$6-'Grundeinstellungen'!$C$7))*3600,""))</f>
        <v/>
      </c>
      <c r="AD205" s="70">
        <f>IF(OR($B205="",$AC205=""),"",$AC205/'Grundeinstellungen'!$C$15*1000)</f>
        <v/>
      </c>
      <c r="AE205" s="71">
        <f>IF(OR($B205="",$AC205=""),"",IFERROR($AC205/3600/'Grundeinstellungen'!$C$15/'Grundeinstellungen'!$J$22,""))</f>
        <v/>
      </c>
      <c r="AF205" s="72">
        <f>IF(OR($B205="",$AE205=""),"",IFERROR($AE205*'Grundeinstellungen'!$J$21/'Grundeinstellungen'!$C$17,""))</f>
        <v/>
      </c>
      <c r="AG205" s="73">
        <f>IF(OR($B205="",$AF205=""),"",IF($AF205&lt;2300,"laminar",IF($AF205&lt;4000,"Übergangsbereich","turbulent")))</f>
        <v/>
      </c>
      <c r="AH205" s="74">
        <f>IF(OR($B205="",$AF205=""),"",IF($AF205&lt;2300,64/$AF205,0.316/$AF205^0.25))</f>
        <v/>
      </c>
      <c r="AI205" s="75">
        <f>IF(OR($B205="",$AH205="",$AB205=""),"",IFERROR($AH205*($AB205/'Grundeinstellungen'!$J$21)*('Grundeinstellungen'!$C$15/2)*$AE205^2,""))</f>
        <v/>
      </c>
      <c r="AJ205" s="76">
        <f>IF(OR($B205="",$AI205="",$AB205=""),"",IFERROR($AI205/$AB205,""))</f>
        <v/>
      </c>
      <c r="AK205" s="75">
        <f>IF(OR($B205="",$AI205=""),"",$AI205*(1+'Grundeinstellungen'!$C$24)+'Grundeinstellungen'!$C$25)</f>
        <v/>
      </c>
    </row>
    <row r="206">
      <c r="A206" s="51" t="n"/>
      <c r="B206" s="51" t="n"/>
      <c r="C206" s="51" t="n"/>
      <c r="D206" s="52" t="n"/>
      <c r="E206" s="53" t="n"/>
      <c r="F206" s="54" t="n"/>
      <c r="G206" s="55">
        <f>IF($B206="","",IFERROR($F206/$D206,""))</f>
        <v/>
      </c>
      <c r="H206" s="52" t="n"/>
      <c r="I206" s="56" t="n"/>
      <c r="J206" s="57" t="n"/>
      <c r="K206" s="58" t="n"/>
      <c r="L206" s="59" t="n"/>
      <c r="M206" s="60" t="n"/>
      <c r="N206" s="61">
        <f>IF($B206="","",IFERROR(('Grundeinstellungen'!$C$6-'Grundeinstellungen'!$C$7)/LN(('Grundeinstellungen'!$C$6-$E206)/('Grundeinstellungen'!$C$7-$E206)),""))</f>
        <v/>
      </c>
      <c r="O206" s="62">
        <f>IF($B206="","",IFERROR(IFERROR(INDEX('Konstanten'!$B$6:$B$10,MATCH($I206,'Konstanten'!$A$6:$A$10,1))+($I206-INDEX('Konstanten'!$A$6:$A$10,MATCH($I206,'Konstanten'!$A$6:$A$10,1)))/(INDEX('Konstanten'!$A$6:$A$10,MATCH($I206,'Konstanten'!$A$6:$A$10,1)+1)-INDEX('Konstanten'!$A$6:$A$10,MATCH($I206,'Konstanten'!$A$6:$A$10,1)))*(INDEX('Konstanten'!$B$6:$B$10,MATCH($I206,'Konstanten'!$A$6:$A$10,1)+1)-INDEX('Konstanten'!$B$6:$B$10,MATCH($I206,'Konstanten'!$A$6:$A$10,1))),INDEX('Konstanten'!$B$6:$B$10,MATCH($I206,'Konstanten'!$A$6:$A$10,1))),""))</f>
        <v/>
      </c>
      <c r="P206" s="62">
        <f>IF($B206="","",IFERROR(IFERROR(INDEX('Konstanten'!$C$6:$C$10,MATCH($I206,'Konstanten'!$A$6:$A$10,1))+($I206-INDEX('Konstanten'!$A$6:$A$10,MATCH($I206,'Konstanten'!$A$6:$A$10,1)))/(INDEX('Konstanten'!$A$6:$A$10,MATCH($I206,'Konstanten'!$A$6:$A$10,1)+1)-INDEX('Konstanten'!$A$6:$A$10,MATCH($I206,'Konstanten'!$A$6:$A$10,1)))*(INDEX('Konstanten'!$C$6:$C$10,MATCH($I206,'Konstanten'!$A$6:$A$10,1)+1)-INDEX('Konstanten'!$C$6:$C$10,MATCH($I206,'Konstanten'!$A$6:$A$10,1))),INDEX('Konstanten'!$C$6:$C$10,MATCH($I206,'Konstanten'!$A$6:$A$10,1))),""))</f>
        <v/>
      </c>
      <c r="Q206" s="63">
        <f>IF(OR($B206="",$N206="",$O206="",$P206=""),"",'Konstanten'!$C$13*$O206*$P206^(1-($J206/1000)/0.075)*'Konstanten'!$C$14^'Konstanten'!$C$16*'Konstanten'!$C$15^'Konstanten'!$C$17*$N206)</f>
        <v/>
      </c>
      <c r="R206" s="64">
        <f>IF(OR($B206="",$Q206=""),"",$E206+$Q206/'Grundeinstellungen'!$J$6)</f>
        <v/>
      </c>
      <c r="S206" s="64">
        <f>IF($B206="","",IFERROR(VLOOKUP($M206,'Konstanten'!$H$6:$I$13,2,FALSE),29))</f>
        <v/>
      </c>
      <c r="T206" s="65">
        <f>IF(OR($B206="",$Q206=""),"",$Q206*$H206)</f>
        <v/>
      </c>
      <c r="U206" s="66">
        <f>IF(OR($B206="",$T206=""),"",$T206-$F206)</f>
        <v/>
      </c>
      <c r="V206" s="67">
        <f>IF(OR($B206="",$T206=""),"",IFERROR($T206/$F206,""))</f>
        <v/>
      </c>
      <c r="W206" s="65">
        <f>IF(OR($B206="",$H206=""),"",'Grundeinstellungen'!$J$13*$H206)</f>
        <v/>
      </c>
      <c r="X206" s="65">
        <f>IF(OR($B206="",$T206=""),"",MIN($T206,$F206)+$W206)</f>
        <v/>
      </c>
      <c r="Y206" s="68">
        <f>IF($B206="","",IFERROR($H206/($J206/1000),""))</f>
        <v/>
      </c>
      <c r="Z206" s="68">
        <f>IF($B206="","",IFERROR(2*$L206*$K206,""))</f>
        <v/>
      </c>
      <c r="AA206" s="68">
        <f>IF(OR($B206="",$Y206="",$Z206=""),"",$Y206+$Z206)</f>
        <v/>
      </c>
      <c r="AB206" s="68">
        <f>IF(OR($B206="",$AA206=""),"",IFERROR($AA206/$K206,""))</f>
        <v/>
      </c>
      <c r="AC206" s="69">
        <f>IF(OR($B206="",$X206=""),"",IFERROR(($X206/$K206)/('Grundeinstellungen'!$C$16*('Grundeinstellungen'!$C$6-'Grundeinstellungen'!$C$7))*3600,""))</f>
        <v/>
      </c>
      <c r="AD206" s="70">
        <f>IF(OR($B206="",$AC206=""),"",$AC206/'Grundeinstellungen'!$C$15*1000)</f>
        <v/>
      </c>
      <c r="AE206" s="71">
        <f>IF(OR($B206="",$AC206=""),"",IFERROR($AC206/3600/'Grundeinstellungen'!$C$15/'Grundeinstellungen'!$J$22,""))</f>
        <v/>
      </c>
      <c r="AF206" s="72">
        <f>IF(OR($B206="",$AE206=""),"",IFERROR($AE206*'Grundeinstellungen'!$J$21/'Grundeinstellungen'!$C$17,""))</f>
        <v/>
      </c>
      <c r="AG206" s="73">
        <f>IF(OR($B206="",$AF206=""),"",IF($AF206&lt;2300,"laminar",IF($AF206&lt;4000,"Übergangsbereich","turbulent")))</f>
        <v/>
      </c>
      <c r="AH206" s="74">
        <f>IF(OR($B206="",$AF206=""),"",IF($AF206&lt;2300,64/$AF206,0.316/$AF206^0.25))</f>
        <v/>
      </c>
      <c r="AI206" s="75">
        <f>IF(OR($B206="",$AH206="",$AB206=""),"",IFERROR($AH206*($AB206/'Grundeinstellungen'!$J$21)*('Grundeinstellungen'!$C$15/2)*$AE206^2,""))</f>
        <v/>
      </c>
      <c r="AJ206" s="76">
        <f>IF(OR($B206="",$AI206="",$AB206=""),"",IFERROR($AI206/$AB206,""))</f>
        <v/>
      </c>
      <c r="AK206" s="75">
        <f>IF(OR($B206="",$AI206=""),"",$AI206*(1+'Grundeinstellungen'!$C$24)+'Grundeinstellungen'!$C$25)</f>
        <v/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autoFilter ref="A6:AK206"/>
  <mergeCells count="1">
    <mergeCell ref="AB2:AK2"/>
  </mergeCells>
  <conditionalFormatting sqref="R7:R206">
    <cfRule type="expression" priority="1" dxfId="0">
      <formula>AND($R7&lt;&gt;"",$R7&gt;$S7)</formula>
    </cfRule>
    <cfRule type="expression" priority="2" dxfId="1">
      <formula>AND($R7&lt;&gt;"",$R7&lt;=$S7)</formula>
    </cfRule>
  </conditionalFormatting>
  <conditionalFormatting sqref="T7:T206">
    <cfRule type="expression" priority="3" dxfId="0">
      <formula>AND($T7&lt;&gt;"",$F7&lt;&gt;"",$T7&lt;$F7)</formula>
    </cfRule>
    <cfRule type="expression" priority="4" dxfId="1">
      <formula>AND($T7&lt;&gt;"",$F7&lt;&gt;"",$T7&gt;=$F7)</formula>
    </cfRule>
  </conditionalFormatting>
  <conditionalFormatting sqref="V7:V206">
    <cfRule type="expression" priority="5" dxfId="0">
      <formula>AND($V7&lt;&gt;"",$V7&lt;1)</formula>
    </cfRule>
    <cfRule type="expression" priority="6" dxfId="1">
      <formula>AND($V7&lt;&gt;"",$V7&gt;=1)</formula>
    </cfRule>
  </conditionalFormatting>
  <conditionalFormatting sqref="AB7:AB206">
    <cfRule type="expression" priority="7" dxfId="0">
      <formula>AND($AB7&lt;&gt;"",$AB7&gt;'Grundeinstellungen'!$C$11)</formula>
    </cfRule>
    <cfRule type="expression" priority="8" dxfId="1">
      <formula>AND($AB7&lt;&gt;"",$AB7&lt;='Grundeinstellungen'!$C$11)</formula>
    </cfRule>
  </conditionalFormatting>
  <conditionalFormatting sqref="AD7:AD206">
    <cfRule type="expression" priority="9" dxfId="0">
      <formula>AND($AD7&lt;&gt;"",$AD7&gt;'Grundeinstellungen'!$C$22)</formula>
    </cfRule>
    <cfRule type="expression" priority="10" dxfId="1">
      <formula>AND($AD7&lt;&gt;"",$AD7&lt;='Grundeinstellungen'!$C$22)</formula>
    </cfRule>
  </conditionalFormatting>
  <conditionalFormatting sqref="AK7:AK206">
    <cfRule type="expression" priority="11" dxfId="0">
      <formula>AND($AK7&lt;&gt;"",$AK7&gt;'Grundeinstellungen'!$C$12)</formula>
    </cfRule>
    <cfRule type="expression" priority="12" dxfId="1">
      <formula>AND($AK7&lt;&gt;"",$AK7&lt;='Grundeinstellungen'!$C$12)</formula>
    </cfRule>
  </conditionalFormatting>
  <conditionalFormatting sqref="AE7:AE206">
    <cfRule type="expression" priority="13" dxfId="0">
      <formula>AND($AE7&lt;&gt;"",OR($AE7&lt;'Grundeinstellungen'!$C$20,$AE7&gt;'Grundeinstellungen'!$C$21))</formula>
    </cfRule>
    <cfRule type="expression" priority="14" dxfId="1">
      <formula>AND($AE7&lt;&gt;"",$AE7&gt;='Grundeinstellungen'!$C$20,$AE7&lt;='Grundeinstellungen'!$C$21)</formula>
    </cfRule>
  </conditionalFormatting>
  <conditionalFormatting sqref="H7:H206">
    <cfRule type="expression" priority="15" dxfId="0">
      <formula>AND($H7&lt;&gt;"",$D7&lt;&gt;"",$H7&gt;$D7)</formula>
    </cfRule>
  </conditionalFormatting>
  <conditionalFormatting sqref="A7:A206 B7:B206 C7:C206 D7:D206 E7:E206 F7:F206 G7:G206 H7:H206 I7:I206 J7:J206 K7:K206 L7:L206 M7:M206">
    <cfRule type="expression" priority="16" dxfId="2">
      <formula>AND($B7&lt;&gt;"",MOD(SUBTOTAL(103,$B$7:$B7),2)=0)</formula>
    </cfRule>
  </conditionalFormatting>
  <conditionalFormatting sqref="N7:N206 O7:O206 P7:P206 Q7:Q206 R7:R206 S7:S206 T7:T206 U7:U206 V7:V206 W7:W206 X7:X206 Y7:Y206 Z7:Z206 AA7:AA206 AB7:AB206 AC7:AC206 AD7:AD206 AE7:AE206 AF7:AF206 AG7:AG206 AH7:AH206 AI7:AI206 AJ7:AJ206 AK7:AK206">
    <cfRule type="expression" priority="17" dxfId="3">
      <formula>AND($B7&lt;&gt;"",MOD(SUBTOTAL(103,$B$7:$B7),2)=0)</formula>
    </cfRule>
  </conditionalFormatting>
  <dataValidations count="2">
    <dataValidation sqref="M7:M206" showDropDown="0" showInputMessage="0" showErrorMessage="0" allowBlank="1" type="list">
      <formula1>='Konstanten'!$H$6:$H$13</formula1>
    </dataValidation>
    <dataValidation sqref="I7:I206" showDropDown="0" showInputMessage="0" showErrorMessage="0" allowBlank="1" type="list">
      <formula1>='Konstanten'!$L$6:$L$25</formula1>
    </dataValidation>
  </dataValidations>
  <pageMargins left="0.2" right="0.2" top="0.3" bottom="0.3" header="0.5" footer="0.5"/>
  <pageSetup orientation="landscape" paperSize="9" fitToHeight="0" fitToWidth="1"/>
  <headerFooter>
    <oddHeader/>
    <oddFooter>&amp;LFBH überschlägige Auslegung&amp;CSeite &amp;P von &amp;N&amp;RStand &amp;D</oddFooter>
    <evenHeader/>
    <evenFooter/>
    <firstHeader/>
    <firstFooter/>
  </headerFooter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5"/>
  <sheetViews>
    <sheetView showGridLines="0" workbookViewId="0">
      <selection activeCell="A1" sqref="A1"/>
    </sheetView>
  </sheetViews>
  <sheetFormatPr baseColWidth="8" defaultRowHeight="15"/>
  <cols>
    <col width="44" customWidth="1" min="1" max="1"/>
    <col width="16" customWidth="1" min="2" max="2"/>
    <col width="11" customWidth="1" min="3" max="3"/>
    <col width="40" customWidth="1" min="4" max="4"/>
  </cols>
  <sheetData>
    <row r="1" ht="34" customHeight="1">
      <c r="A1" s="16" t="inlineStr">
        <is>
          <t>Kontrolle / Auswertung</t>
        </is>
      </c>
      <c r="B1" s="2" t="n"/>
      <c r="C1" s="2" t="n"/>
      <c r="D1" s="2" t="n"/>
    </row>
    <row r="2">
      <c r="A2" s="77">
        <f>"Projekt-Nr.: "&amp;'Grundeinstellungen'!$C$2</f>
        <v/>
      </c>
      <c r="B2" s="2" t="n"/>
      <c r="C2" s="2" t="n"/>
      <c r="D2" s="78">
        <f>"Bearbeiter: "&amp;'Grundeinstellungen'!$M$2</f>
        <v/>
      </c>
    </row>
    <row r="3">
      <c r="A3" s="77">
        <f>"Projekt: "&amp;'Grundeinstellungen'!$C$3</f>
        <v/>
      </c>
      <c r="B3" s="2" t="n"/>
      <c r="C3" s="2" t="n"/>
      <c r="D3" s="2" t="n"/>
    </row>
    <row r="4">
      <c r="A4" s="2" t="n"/>
      <c r="B4" s="2" t="n"/>
      <c r="C4" s="2" t="n"/>
      <c r="D4" s="2" t="n"/>
    </row>
    <row r="5">
      <c r="A5" s="23" t="inlineStr">
        <is>
          <t>Summen / Kennzahlen</t>
        </is>
      </c>
      <c r="B5" s="24" t="n"/>
      <c r="C5" s="24" t="n"/>
      <c r="D5" s="24" t="n"/>
    </row>
    <row r="6">
      <c r="A6" s="25" t="inlineStr">
        <is>
          <t>Anzahl Räume</t>
        </is>
      </c>
      <c r="B6" s="79">
        <f>COUNTA('Auslegung'!B7:B206)</f>
        <v/>
      </c>
      <c r="C6" s="27" t="inlineStr">
        <is>
          <t>-</t>
        </is>
      </c>
      <c r="D6" s="2" t="n"/>
    </row>
    <row r="7">
      <c r="A7" s="25" t="inlineStr">
        <is>
          <t>Gesamte Heizlast</t>
        </is>
      </c>
      <c r="B7" s="80">
        <f>SUM('Auslegung'!F7:F206)</f>
        <v/>
      </c>
      <c r="C7" s="27" t="inlineStr">
        <is>
          <t>W</t>
        </is>
      </c>
      <c r="D7" s="2" t="n"/>
    </row>
    <row r="8">
      <c r="A8" s="25" t="inlineStr">
        <is>
          <t>Gesamte FBH-Leistung (nach oben)</t>
        </is>
      </c>
      <c r="B8" s="80">
        <f>SUM('Auslegung'!T7:T206)</f>
        <v/>
      </c>
      <c r="C8" s="27" t="inlineStr">
        <is>
          <t>W</t>
        </is>
      </c>
      <c r="D8" s="2" t="n"/>
    </row>
    <row r="9">
      <c r="A9" s="25" t="inlineStr">
        <is>
          <t>Verlustleistung nach unten</t>
        </is>
      </c>
      <c r="B9" s="80">
        <f>SUM('Auslegung'!W7:W206)</f>
        <v/>
      </c>
      <c r="C9" s="27" t="inlineStr">
        <is>
          <t>W</t>
        </is>
      </c>
      <c r="D9" s="2" t="n"/>
    </row>
    <row r="10">
      <c r="A10" s="25" t="inlineStr">
        <is>
          <t>Maßgebliche Gesamtleistung (Hydraulik)</t>
        </is>
      </c>
      <c r="B10" s="80">
        <f>SUM('Auslegung'!X7:X206)</f>
        <v/>
      </c>
      <c r="C10" s="27" t="inlineStr">
        <is>
          <t>W</t>
        </is>
      </c>
      <c r="D10" s="2" t="n"/>
    </row>
    <row r="11">
      <c r="A11" s="25" t="inlineStr">
        <is>
          <t>Deckungsgrad gesamt</t>
        </is>
      </c>
      <c r="B11" s="81">
        <f>IFERROR(B8/B7,0)</f>
        <v/>
      </c>
      <c r="C11" s="27" t="inlineStr">
        <is>
          <t>%</t>
        </is>
      </c>
      <c r="D11" s="2" t="n"/>
    </row>
    <row r="12">
      <c r="A12" s="25" t="inlineStr">
        <is>
          <t>Gesamte Rohrlänge</t>
        </is>
      </c>
      <c r="B12" s="80">
        <f>SUM('Auslegung'!AA7:AA206)</f>
        <v/>
      </c>
      <c r="C12" s="27" t="inlineStr">
        <is>
          <t>m</t>
        </is>
      </c>
      <c r="D12" s="2" t="n"/>
    </row>
    <row r="13">
      <c r="A13" s="25" t="inlineStr">
        <is>
          <t>Anzahl Heizkreise gesamt</t>
        </is>
      </c>
      <c r="B13" s="79">
        <f>SUM('Auslegung'!K7:K206)</f>
        <v/>
      </c>
      <c r="C13" s="27" t="inlineStr">
        <is>
          <t>-</t>
        </is>
      </c>
      <c r="D13" s="2" t="n"/>
    </row>
    <row r="14">
      <c r="A14" s="25" t="inlineStr">
        <is>
          <t>Gesamtmassenstrom (Pumpe)</t>
        </is>
      </c>
      <c r="B14" s="80">
        <f>SUM('Auslegung'!AC7:AC206)</f>
        <v/>
      </c>
      <c r="C14" s="27" t="inlineStr">
        <is>
          <t>kg/h</t>
        </is>
      </c>
      <c r="D14" s="2" t="n"/>
    </row>
    <row r="15">
      <c r="A15" s="25" t="inlineStr">
        <is>
          <t>Gesamtvolumenstrom (Pumpe)</t>
        </is>
      </c>
      <c r="B15" s="80">
        <f>SUM('Auslegung'!AD7:AD206)</f>
        <v/>
      </c>
      <c r="C15" s="27" t="inlineStr">
        <is>
          <t>l/h</t>
        </is>
      </c>
      <c r="D15" s="2" t="n"/>
    </row>
    <row r="16">
      <c r="A16" s="25" t="inlineStr">
        <is>
          <t>Max. Druckverlust eines Kreises</t>
        </is>
      </c>
      <c r="B16" s="80">
        <f>IFERROR(MAX('Auslegung'!AK7:AK206),0)</f>
        <v/>
      </c>
      <c r="C16" s="27" t="inlineStr">
        <is>
          <t>Pa</t>
        </is>
      </c>
      <c r="D16" s="2" t="n"/>
    </row>
    <row r="17">
      <c r="A17" s="25" t="inlineStr">
        <is>
          <t>Max. Strömungsgeschwindigkeit</t>
        </is>
      </c>
      <c r="B17" s="82">
        <f>IFERROR(MAX('Auslegung'!AE7:AE206),0)</f>
        <v/>
      </c>
      <c r="C17" s="27" t="inlineStr">
        <is>
          <t>m/s</t>
        </is>
      </c>
      <c r="D17" s="2" t="n"/>
    </row>
    <row r="18">
      <c r="A18" s="2" t="n"/>
      <c r="B18" s="2" t="n"/>
      <c r="C18" s="2" t="n"/>
      <c r="D18" s="2" t="n"/>
    </row>
    <row r="19">
      <c r="A19" s="23" t="inlineStr">
        <is>
          <t>Warnungen</t>
        </is>
      </c>
      <c r="B19" s="24" t="n"/>
      <c r="C19" s="24" t="n"/>
      <c r="D19" s="24" t="n"/>
    </row>
    <row r="20">
      <c r="A20" s="25" t="inlineStr">
        <is>
          <t>Räume unterdeckt</t>
        </is>
      </c>
      <c r="B20" s="79">
        <f>COUNTIF('Auslegung'!V7:V206,"&lt;1")</f>
        <v/>
      </c>
      <c r="C20" s="27" t="inlineStr">
        <is>
          <t>-</t>
        </is>
      </c>
      <c r="D20" s="28" t="inlineStr">
        <is>
          <t>Heizlast nicht gedeckt</t>
        </is>
      </c>
    </row>
    <row r="21">
      <c r="A21" s="25" t="inlineStr">
        <is>
          <t>Kreise zu lang</t>
        </is>
      </c>
      <c r="B21" s="79">
        <f>COUNTIF('Auslegung'!AB7:AB206,"&gt;"&amp;'Grundeinstellungen'!$C$11)</f>
        <v/>
      </c>
      <c r="C21" s="27" t="inlineStr">
        <is>
          <t>-</t>
        </is>
      </c>
      <c r="D21" s="28" t="inlineStr">
        <is>
          <t>&gt; max. Kreislänge</t>
        </is>
      </c>
    </row>
    <row r="22">
      <c r="A22" s="25" t="inlineStr">
        <is>
          <t>Druckverlust über Warnschwelle</t>
        </is>
      </c>
      <c r="B22" s="79">
        <f>COUNTIF('Auslegung'!AK7:AK206,"&gt;"&amp;'Grundeinstellungen'!$C$12)</f>
        <v/>
      </c>
      <c r="C22" s="27" t="inlineStr">
        <is>
          <t>-</t>
        </is>
      </c>
      <c r="D22" s="2" t="n"/>
    </row>
    <row r="23">
      <c r="A23" s="25" t="inlineStr">
        <is>
          <t>Oberflächentemperatur zu hoch</t>
        </is>
      </c>
      <c r="B23" s="79">
        <f>SUMPRODUCT(('Auslegung'!R7:R206&lt;&gt;"")*('Auslegung'!R7:R206&gt;'Auslegung'!S7:S206))</f>
        <v/>
      </c>
      <c r="C23" s="27" t="inlineStr">
        <is>
          <t>-</t>
        </is>
      </c>
      <c r="D23" s="2" t="n"/>
    </row>
    <row r="24">
      <c r="A24" s="25" t="inlineStr">
        <is>
          <t>Geschwindigkeit außerhalb v_min–v_max</t>
        </is>
      </c>
      <c r="B24" s="79">
        <f>SUMPRODUCT(('Auslegung'!AE7:AE206&lt;&gt;"")*(('Auslegung'!AE7:AE206&lt;'Grundeinstellungen'!$C$20)+('Auslegung'!AE7:AE206&gt;'Grundeinstellungen'!$C$21)))</f>
        <v/>
      </c>
      <c r="C24" s="27" t="inlineStr">
        <is>
          <t>-</t>
        </is>
      </c>
      <c r="D24" s="28" t="inlineStr">
        <is>
          <t>Kreise</t>
        </is>
      </c>
    </row>
    <row r="25">
      <c r="A25" s="25" t="inlineStr">
        <is>
          <t>Volumenstrom je Kreis zu hoch</t>
        </is>
      </c>
      <c r="B25" s="79">
        <f>COUNTIF('Auslegung'!AD7:AD206,"&gt;"&amp;'Grundeinstellungen'!$C$22)</f>
        <v/>
      </c>
      <c r="C25" s="27" t="inlineStr">
        <is>
          <t>-</t>
        </is>
      </c>
      <c r="D25" s="28" t="inlineStr">
        <is>
          <t>&gt; max. Volumenstrom</t>
        </is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/>
  <conditionalFormatting sqref="B20">
    <cfRule type="expression" priority="1" dxfId="0">
      <formula>$B$20&gt;0</formula>
    </cfRule>
    <cfRule type="expression" priority="2" dxfId="1">
      <formula>$B$20=0</formula>
    </cfRule>
  </conditionalFormatting>
  <conditionalFormatting sqref="B21">
    <cfRule type="expression" priority="3" dxfId="0">
      <formula>$B$21&gt;0</formula>
    </cfRule>
    <cfRule type="expression" priority="4" dxfId="1">
      <formula>$B$21=0</formula>
    </cfRule>
  </conditionalFormatting>
  <conditionalFormatting sqref="B22">
    <cfRule type="expression" priority="5" dxfId="0">
      <formula>$B$22&gt;0</formula>
    </cfRule>
    <cfRule type="expression" priority="6" dxfId="1">
      <formula>$B$22=0</formula>
    </cfRule>
  </conditionalFormatting>
  <conditionalFormatting sqref="B23">
    <cfRule type="expression" priority="7" dxfId="0">
      <formula>$B$23&gt;0</formula>
    </cfRule>
    <cfRule type="expression" priority="8" dxfId="1">
      <formula>$B$23=0</formula>
    </cfRule>
  </conditionalFormatting>
  <conditionalFormatting sqref="B24">
    <cfRule type="expression" priority="9" dxfId="0">
      <formula>$B$24&gt;0</formula>
    </cfRule>
    <cfRule type="expression" priority="10" dxfId="1">
      <formula>$B$24=0</formula>
    </cfRule>
  </conditionalFormatting>
  <conditionalFormatting sqref="B25">
    <cfRule type="expression" priority="11" dxfId="0">
      <formula>$B$25&gt;0</formula>
    </cfRule>
    <cfRule type="expression" priority="12" dxfId="1">
      <formula>$B$25=0</formula>
    </cfRule>
  </conditionalFormatting>
  <pageMargins left="0.4" right="0.4" top="0.5" bottom="0.5" header="0.5" footer="0.5"/>
  <pageSetup orientation="landscape" paperSize="9" fitToHeight="0" fitToWidth="1"/>
  <headerFooter>
    <oddHeader/>
    <oddFooter>&amp;LFBH überschlägige Auslegung&amp;CSeite &amp;P von &amp;N&amp;RStand &amp;D</oddFooter>
    <evenHeader/>
    <evenFooter/>
    <firstHeader/>
    <firstFooter/>
  </headerFooter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H56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10" customWidth="1" min="3" max="3"/>
    <col width="17" customWidth="1" min="4" max="4"/>
    <col width="14" customWidth="1" min="5" max="5"/>
    <col width="14" customWidth="1" min="6" max="6"/>
    <col width="16" customWidth="1" min="7" max="7"/>
    <col width="50" customWidth="1" min="8" max="8"/>
  </cols>
  <sheetData>
    <row r="1" ht="34" customHeight="1">
      <c r="A1" s="16" t="inlineStr">
        <is>
          <t>Heizkreisverteiler – Übersicht je HKV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77">
        <f>"Projekt-Nr.: "&amp;'Grundeinstellungen'!$C$2</f>
        <v/>
      </c>
      <c r="B2" s="2" t="n"/>
      <c r="C2" s="2" t="n"/>
      <c r="D2" s="2" t="n"/>
      <c r="E2" s="2" t="n"/>
      <c r="F2" s="78">
        <f>"Bearbeiter: "&amp;'Grundeinstellungen'!$M$2</f>
        <v/>
      </c>
      <c r="H2" s="2" t="n"/>
    </row>
    <row r="3">
      <c r="A3" s="77">
        <f>"Projekt: "&amp;'Grundeinstellungen'!$C$3</f>
        <v/>
      </c>
      <c r="B3" s="2" t="n"/>
      <c r="C3" s="2" t="n"/>
      <c r="D3" s="2" t="n"/>
      <c r="E3" s="2" t="n"/>
      <c r="F3" s="2" t="n"/>
      <c r="G3" s="2" t="n"/>
      <c r="H3" s="2" t="n"/>
    </row>
    <row r="4" ht="30" customHeight="1">
      <c r="A4" s="49" t="inlineStr">
        <is>
          <t>Heizkreisverteiler (HKV)</t>
        </is>
      </c>
      <c r="B4" s="49" t="inlineStr">
        <is>
          <t>Anzahl Kreise</t>
        </is>
      </c>
      <c r="C4" s="49" t="inlineStr">
        <is>
          <t>Spreizung [K]</t>
        </is>
      </c>
      <c r="D4" s="49" t="inlineStr">
        <is>
          <t>maßgebl. Leistung [W]</t>
        </is>
      </c>
      <c r="E4" s="49" t="inlineStr">
        <is>
          <t>Massenstrom [kg/h]</t>
        </is>
      </c>
      <c r="F4" s="49" t="inlineStr">
        <is>
          <t>Volumenstrom [l/h]</t>
        </is>
      </c>
      <c r="G4" s="49" t="inlineStr">
        <is>
          <t>max. Druckverlust [Pa]</t>
        </is>
      </c>
      <c r="H4" s="49" t="inlineStr">
        <is>
          <t>angebundene Räume (Raum-Nr.)</t>
        </is>
      </c>
    </row>
    <row r="5">
      <c r="A5" s="83">
        <f t="array" ref="A5">IFERROR(INDEX('Auslegung'!$A$7:$A$206,MATCH(0,COUNTIF($A$4:$A4,'Auslegung'!$A$7:$A$206)+IF('Auslegung'!$A$7:$A$206="",1,0),0)),"")</f>
        <v/>
      </c>
      <c r="B5" s="84">
        <f>IF($A5="","",SUMIF('Auslegung'!$A$7:$A$206,$A5,'Auslegung'!$K$7:$K$206))</f>
        <v/>
      </c>
      <c r="C5" s="85">
        <f>IF($A5="","",'Grundeinstellungen'!$C$6-'Grundeinstellungen'!$C$7)</f>
        <v/>
      </c>
      <c r="D5" s="65">
        <f>IF($A5="","",SUMIF('Auslegung'!$A$7:$A$206,$A5,'Auslegung'!$X$7:$X$206))</f>
        <v/>
      </c>
      <c r="E5" s="86">
        <f>IF($A5="","",SUMIF('Auslegung'!$A$7:$A$206,$A5,'Auslegung'!$AC$7:$AC$206))</f>
        <v/>
      </c>
      <c r="F5" s="87">
        <f>IF($A5="","",SUMIF('Auslegung'!$A$7:$A$206,$A5,'Auslegung'!$AD$7:$AD$206))</f>
        <v/>
      </c>
      <c r="G5" s="75">
        <f t="array" ref="G5">IF($A5="","",MAX(IF('Auslegung'!$A$7:$A$206=$A5,'Auslegung'!$AK$7:$AK$206)))</f>
        <v/>
      </c>
      <c r="H5" s="88">
        <f t="array" ref="H5">IF($A5="","",_xlfn.TEXTJOIN(", ",TRUE,IF('Auslegung'!$A$7:$A$206=$A5,'Auslegung'!$B$7:$B$206,"")))</f>
        <v/>
      </c>
    </row>
    <row r="6">
      <c r="A6" s="83">
        <f t="array" ref="A6">IFERROR(INDEX('Auslegung'!$A$7:$A$206,MATCH(0,COUNTIF($A$4:$A5,'Auslegung'!$A$7:$A$206)+IF('Auslegung'!$A$7:$A$206="",1,0),0)),"")</f>
        <v/>
      </c>
      <c r="B6" s="84">
        <f>IF($A6="","",SUMIF('Auslegung'!$A$7:$A$206,$A6,'Auslegung'!$K$7:$K$206))</f>
        <v/>
      </c>
      <c r="C6" s="85">
        <f>IF($A6="","",'Grundeinstellungen'!$C$6-'Grundeinstellungen'!$C$7)</f>
        <v/>
      </c>
      <c r="D6" s="65">
        <f>IF($A6="","",SUMIF('Auslegung'!$A$7:$A$206,$A6,'Auslegung'!$X$7:$X$206))</f>
        <v/>
      </c>
      <c r="E6" s="86">
        <f>IF($A6="","",SUMIF('Auslegung'!$A$7:$A$206,$A6,'Auslegung'!$AC$7:$AC$206))</f>
        <v/>
      </c>
      <c r="F6" s="87">
        <f>IF($A6="","",SUMIF('Auslegung'!$A$7:$A$206,$A6,'Auslegung'!$AD$7:$AD$206))</f>
        <v/>
      </c>
      <c r="G6" s="75">
        <f t="array" ref="G6">IF($A6="","",MAX(IF('Auslegung'!$A$7:$A$206=$A6,'Auslegung'!$AK$7:$AK$206)))</f>
        <v/>
      </c>
      <c r="H6" s="88">
        <f t="array" ref="H6">IF($A6="","",_xlfn.TEXTJOIN(", ",TRUE,IF('Auslegung'!$A$7:$A$206=$A6,'Auslegung'!$B$7:$B$206,"")))</f>
        <v/>
      </c>
    </row>
    <row r="7">
      <c r="A7" s="83">
        <f t="array" ref="A7">IFERROR(INDEX('Auslegung'!$A$7:$A$206,MATCH(0,COUNTIF($A$4:$A6,'Auslegung'!$A$7:$A$206)+IF('Auslegung'!$A$7:$A$206="",1,0),0)),"")</f>
        <v/>
      </c>
      <c r="B7" s="84">
        <f>IF($A7="","",SUMIF('Auslegung'!$A$7:$A$206,$A7,'Auslegung'!$K$7:$K$206))</f>
        <v/>
      </c>
      <c r="C7" s="85">
        <f>IF($A7="","",'Grundeinstellungen'!$C$6-'Grundeinstellungen'!$C$7)</f>
        <v/>
      </c>
      <c r="D7" s="65">
        <f>IF($A7="","",SUMIF('Auslegung'!$A$7:$A$206,$A7,'Auslegung'!$X$7:$X$206))</f>
        <v/>
      </c>
      <c r="E7" s="86">
        <f>IF($A7="","",SUMIF('Auslegung'!$A$7:$A$206,$A7,'Auslegung'!$AC$7:$AC$206))</f>
        <v/>
      </c>
      <c r="F7" s="87">
        <f>IF($A7="","",SUMIF('Auslegung'!$A$7:$A$206,$A7,'Auslegung'!$AD$7:$AD$206))</f>
        <v/>
      </c>
      <c r="G7" s="75">
        <f t="array" ref="G7">IF($A7="","",MAX(IF('Auslegung'!$A$7:$A$206=$A7,'Auslegung'!$AK$7:$AK$206)))</f>
        <v/>
      </c>
      <c r="H7" s="88">
        <f t="array" ref="H7">IF($A7="","",_xlfn.TEXTJOIN(", ",TRUE,IF('Auslegung'!$A$7:$A$206=$A7,'Auslegung'!$B$7:$B$206,"")))</f>
        <v/>
      </c>
    </row>
    <row r="8">
      <c r="A8" s="83">
        <f t="array" ref="A8">IFERROR(INDEX('Auslegung'!$A$7:$A$206,MATCH(0,COUNTIF($A$4:$A7,'Auslegung'!$A$7:$A$206)+IF('Auslegung'!$A$7:$A$206="",1,0),0)),"")</f>
        <v/>
      </c>
      <c r="B8" s="84">
        <f>IF($A8="","",SUMIF('Auslegung'!$A$7:$A$206,$A8,'Auslegung'!$K$7:$K$206))</f>
        <v/>
      </c>
      <c r="C8" s="85">
        <f>IF($A8="","",'Grundeinstellungen'!$C$6-'Grundeinstellungen'!$C$7)</f>
        <v/>
      </c>
      <c r="D8" s="65">
        <f>IF($A8="","",SUMIF('Auslegung'!$A$7:$A$206,$A8,'Auslegung'!$X$7:$X$206))</f>
        <v/>
      </c>
      <c r="E8" s="86">
        <f>IF($A8="","",SUMIF('Auslegung'!$A$7:$A$206,$A8,'Auslegung'!$AC$7:$AC$206))</f>
        <v/>
      </c>
      <c r="F8" s="87">
        <f>IF($A8="","",SUMIF('Auslegung'!$A$7:$A$206,$A8,'Auslegung'!$AD$7:$AD$206))</f>
        <v/>
      </c>
      <c r="G8" s="75">
        <f t="array" ref="G8">IF($A8="","",MAX(IF('Auslegung'!$A$7:$A$206=$A8,'Auslegung'!$AK$7:$AK$206)))</f>
        <v/>
      </c>
      <c r="H8" s="88">
        <f t="array" ref="H8">IF($A8="","",_xlfn.TEXTJOIN(", ",TRUE,IF('Auslegung'!$A$7:$A$206=$A8,'Auslegung'!$B$7:$B$206,"")))</f>
        <v/>
      </c>
    </row>
    <row r="9">
      <c r="A9" s="83">
        <f t="array" ref="A9">IFERROR(INDEX('Auslegung'!$A$7:$A$206,MATCH(0,COUNTIF($A$4:$A8,'Auslegung'!$A$7:$A$206)+IF('Auslegung'!$A$7:$A$206="",1,0),0)),"")</f>
        <v/>
      </c>
      <c r="B9" s="84">
        <f>IF($A9="","",SUMIF('Auslegung'!$A$7:$A$206,$A9,'Auslegung'!$K$7:$K$206))</f>
        <v/>
      </c>
      <c r="C9" s="85">
        <f>IF($A9="","",'Grundeinstellungen'!$C$6-'Grundeinstellungen'!$C$7)</f>
        <v/>
      </c>
      <c r="D9" s="65">
        <f>IF($A9="","",SUMIF('Auslegung'!$A$7:$A$206,$A9,'Auslegung'!$X$7:$X$206))</f>
        <v/>
      </c>
      <c r="E9" s="86">
        <f>IF($A9="","",SUMIF('Auslegung'!$A$7:$A$206,$A9,'Auslegung'!$AC$7:$AC$206))</f>
        <v/>
      </c>
      <c r="F9" s="87">
        <f>IF($A9="","",SUMIF('Auslegung'!$A$7:$A$206,$A9,'Auslegung'!$AD$7:$AD$206))</f>
        <v/>
      </c>
      <c r="G9" s="75">
        <f t="array" ref="G9">IF($A9="","",MAX(IF('Auslegung'!$A$7:$A$206=$A9,'Auslegung'!$AK$7:$AK$206)))</f>
        <v/>
      </c>
      <c r="H9" s="88">
        <f t="array" ref="H9">IF($A9="","",_xlfn.TEXTJOIN(", ",TRUE,IF('Auslegung'!$A$7:$A$206=$A9,'Auslegung'!$B$7:$B$206,"")))</f>
        <v/>
      </c>
    </row>
    <row r="10">
      <c r="A10" s="83">
        <f t="array" ref="A10">IFERROR(INDEX('Auslegung'!$A$7:$A$206,MATCH(0,COUNTIF($A$4:$A9,'Auslegung'!$A$7:$A$206)+IF('Auslegung'!$A$7:$A$206="",1,0),0)),"")</f>
        <v/>
      </c>
      <c r="B10" s="84">
        <f>IF($A10="","",SUMIF('Auslegung'!$A$7:$A$206,$A10,'Auslegung'!$K$7:$K$206))</f>
        <v/>
      </c>
      <c r="C10" s="85">
        <f>IF($A10="","",'Grundeinstellungen'!$C$6-'Grundeinstellungen'!$C$7)</f>
        <v/>
      </c>
      <c r="D10" s="65">
        <f>IF($A10="","",SUMIF('Auslegung'!$A$7:$A$206,$A10,'Auslegung'!$X$7:$X$206))</f>
        <v/>
      </c>
      <c r="E10" s="86">
        <f>IF($A10="","",SUMIF('Auslegung'!$A$7:$A$206,$A10,'Auslegung'!$AC$7:$AC$206))</f>
        <v/>
      </c>
      <c r="F10" s="87">
        <f>IF($A10="","",SUMIF('Auslegung'!$A$7:$A$206,$A10,'Auslegung'!$AD$7:$AD$206))</f>
        <v/>
      </c>
      <c r="G10" s="75">
        <f t="array" ref="G10">IF($A10="","",MAX(IF('Auslegung'!$A$7:$A$206=$A10,'Auslegung'!$AK$7:$AK$206)))</f>
        <v/>
      </c>
      <c r="H10" s="88">
        <f t="array" ref="H10">IF($A10="","",_xlfn.TEXTJOIN(", ",TRUE,IF('Auslegung'!$A$7:$A$206=$A10,'Auslegung'!$B$7:$B$206,"")))</f>
        <v/>
      </c>
    </row>
    <row r="11">
      <c r="A11" s="83">
        <f t="array" ref="A11">IFERROR(INDEX('Auslegung'!$A$7:$A$206,MATCH(0,COUNTIF($A$4:$A10,'Auslegung'!$A$7:$A$206)+IF('Auslegung'!$A$7:$A$206="",1,0),0)),"")</f>
        <v/>
      </c>
      <c r="B11" s="84">
        <f>IF($A11="","",SUMIF('Auslegung'!$A$7:$A$206,$A11,'Auslegung'!$K$7:$K$206))</f>
        <v/>
      </c>
      <c r="C11" s="85">
        <f>IF($A11="","",'Grundeinstellungen'!$C$6-'Grundeinstellungen'!$C$7)</f>
        <v/>
      </c>
      <c r="D11" s="65">
        <f>IF($A11="","",SUMIF('Auslegung'!$A$7:$A$206,$A11,'Auslegung'!$X$7:$X$206))</f>
        <v/>
      </c>
      <c r="E11" s="86">
        <f>IF($A11="","",SUMIF('Auslegung'!$A$7:$A$206,$A11,'Auslegung'!$AC$7:$AC$206))</f>
        <v/>
      </c>
      <c r="F11" s="87">
        <f>IF($A11="","",SUMIF('Auslegung'!$A$7:$A$206,$A11,'Auslegung'!$AD$7:$AD$206))</f>
        <v/>
      </c>
      <c r="G11" s="75">
        <f t="array" ref="G11">IF($A11="","",MAX(IF('Auslegung'!$A$7:$A$206=$A11,'Auslegung'!$AK$7:$AK$206)))</f>
        <v/>
      </c>
      <c r="H11" s="88">
        <f t="array" ref="H11">IF($A11="","",_xlfn.TEXTJOIN(", ",TRUE,IF('Auslegung'!$A$7:$A$206=$A11,'Auslegung'!$B$7:$B$206,"")))</f>
        <v/>
      </c>
    </row>
    <row r="12">
      <c r="A12" s="83">
        <f t="array" ref="A12">IFERROR(INDEX('Auslegung'!$A$7:$A$206,MATCH(0,COUNTIF($A$4:$A11,'Auslegung'!$A$7:$A$206)+IF('Auslegung'!$A$7:$A$206="",1,0),0)),"")</f>
        <v/>
      </c>
      <c r="B12" s="84">
        <f>IF($A12="","",SUMIF('Auslegung'!$A$7:$A$206,$A12,'Auslegung'!$K$7:$K$206))</f>
        <v/>
      </c>
      <c r="C12" s="85">
        <f>IF($A12="","",'Grundeinstellungen'!$C$6-'Grundeinstellungen'!$C$7)</f>
        <v/>
      </c>
      <c r="D12" s="65">
        <f>IF($A12="","",SUMIF('Auslegung'!$A$7:$A$206,$A12,'Auslegung'!$X$7:$X$206))</f>
        <v/>
      </c>
      <c r="E12" s="86">
        <f>IF($A12="","",SUMIF('Auslegung'!$A$7:$A$206,$A12,'Auslegung'!$AC$7:$AC$206))</f>
        <v/>
      </c>
      <c r="F12" s="87">
        <f>IF($A12="","",SUMIF('Auslegung'!$A$7:$A$206,$A12,'Auslegung'!$AD$7:$AD$206))</f>
        <v/>
      </c>
      <c r="G12" s="75">
        <f t="array" ref="G12">IF($A12="","",MAX(IF('Auslegung'!$A$7:$A$206=$A12,'Auslegung'!$AK$7:$AK$206)))</f>
        <v/>
      </c>
      <c r="H12" s="88">
        <f t="array" ref="H12">IF($A12="","",_xlfn.TEXTJOIN(", ",TRUE,IF('Auslegung'!$A$7:$A$206=$A12,'Auslegung'!$B$7:$B$206,"")))</f>
        <v/>
      </c>
    </row>
    <row r="13">
      <c r="A13" s="83">
        <f t="array" ref="A13">IFERROR(INDEX('Auslegung'!$A$7:$A$206,MATCH(0,COUNTIF($A$4:$A12,'Auslegung'!$A$7:$A$206)+IF('Auslegung'!$A$7:$A$206="",1,0),0)),"")</f>
        <v/>
      </c>
      <c r="B13" s="84">
        <f>IF($A13="","",SUMIF('Auslegung'!$A$7:$A$206,$A13,'Auslegung'!$K$7:$K$206))</f>
        <v/>
      </c>
      <c r="C13" s="85">
        <f>IF($A13="","",'Grundeinstellungen'!$C$6-'Grundeinstellungen'!$C$7)</f>
        <v/>
      </c>
      <c r="D13" s="65">
        <f>IF($A13="","",SUMIF('Auslegung'!$A$7:$A$206,$A13,'Auslegung'!$X$7:$X$206))</f>
        <v/>
      </c>
      <c r="E13" s="86">
        <f>IF($A13="","",SUMIF('Auslegung'!$A$7:$A$206,$A13,'Auslegung'!$AC$7:$AC$206))</f>
        <v/>
      </c>
      <c r="F13" s="87">
        <f>IF($A13="","",SUMIF('Auslegung'!$A$7:$A$206,$A13,'Auslegung'!$AD$7:$AD$206))</f>
        <v/>
      </c>
      <c r="G13" s="75">
        <f t="array" ref="G13">IF($A13="","",MAX(IF('Auslegung'!$A$7:$A$206=$A13,'Auslegung'!$AK$7:$AK$206)))</f>
        <v/>
      </c>
      <c r="H13" s="88">
        <f t="array" ref="H13">IF($A13="","",_xlfn.TEXTJOIN(", ",TRUE,IF('Auslegung'!$A$7:$A$206=$A13,'Auslegung'!$B$7:$B$206,"")))</f>
        <v/>
      </c>
    </row>
    <row r="14">
      <c r="A14" s="83">
        <f t="array" ref="A14">IFERROR(INDEX('Auslegung'!$A$7:$A$206,MATCH(0,COUNTIF($A$4:$A13,'Auslegung'!$A$7:$A$206)+IF('Auslegung'!$A$7:$A$206="",1,0),0)),"")</f>
        <v/>
      </c>
      <c r="B14" s="84">
        <f>IF($A14="","",SUMIF('Auslegung'!$A$7:$A$206,$A14,'Auslegung'!$K$7:$K$206))</f>
        <v/>
      </c>
      <c r="C14" s="85">
        <f>IF($A14="","",'Grundeinstellungen'!$C$6-'Grundeinstellungen'!$C$7)</f>
        <v/>
      </c>
      <c r="D14" s="65">
        <f>IF($A14="","",SUMIF('Auslegung'!$A$7:$A$206,$A14,'Auslegung'!$X$7:$X$206))</f>
        <v/>
      </c>
      <c r="E14" s="86">
        <f>IF($A14="","",SUMIF('Auslegung'!$A$7:$A$206,$A14,'Auslegung'!$AC$7:$AC$206))</f>
        <v/>
      </c>
      <c r="F14" s="87">
        <f>IF($A14="","",SUMIF('Auslegung'!$A$7:$A$206,$A14,'Auslegung'!$AD$7:$AD$206))</f>
        <v/>
      </c>
      <c r="G14" s="75">
        <f t="array" ref="G14">IF($A14="","",MAX(IF('Auslegung'!$A$7:$A$206=$A14,'Auslegung'!$AK$7:$AK$206)))</f>
        <v/>
      </c>
      <c r="H14" s="88">
        <f t="array" ref="H14">IF($A14="","",_xlfn.TEXTJOIN(", ",TRUE,IF('Auslegung'!$A$7:$A$206=$A14,'Auslegung'!$B$7:$B$206,"")))</f>
        <v/>
      </c>
    </row>
    <row r="15">
      <c r="A15" s="83">
        <f t="array" ref="A15">IFERROR(INDEX('Auslegung'!$A$7:$A$206,MATCH(0,COUNTIF($A$4:$A14,'Auslegung'!$A$7:$A$206)+IF('Auslegung'!$A$7:$A$206="",1,0),0)),"")</f>
        <v/>
      </c>
      <c r="B15" s="84">
        <f>IF($A15="","",SUMIF('Auslegung'!$A$7:$A$206,$A15,'Auslegung'!$K$7:$K$206))</f>
        <v/>
      </c>
      <c r="C15" s="85">
        <f>IF($A15="","",'Grundeinstellungen'!$C$6-'Grundeinstellungen'!$C$7)</f>
        <v/>
      </c>
      <c r="D15" s="65">
        <f>IF($A15="","",SUMIF('Auslegung'!$A$7:$A$206,$A15,'Auslegung'!$X$7:$X$206))</f>
        <v/>
      </c>
      <c r="E15" s="86">
        <f>IF($A15="","",SUMIF('Auslegung'!$A$7:$A$206,$A15,'Auslegung'!$AC$7:$AC$206))</f>
        <v/>
      </c>
      <c r="F15" s="87">
        <f>IF($A15="","",SUMIF('Auslegung'!$A$7:$A$206,$A15,'Auslegung'!$AD$7:$AD$206))</f>
        <v/>
      </c>
      <c r="G15" s="75">
        <f t="array" ref="G15">IF($A15="","",MAX(IF('Auslegung'!$A$7:$A$206=$A15,'Auslegung'!$AK$7:$AK$206)))</f>
        <v/>
      </c>
      <c r="H15" s="88">
        <f t="array" ref="H15">IF($A15="","",_xlfn.TEXTJOIN(", ",TRUE,IF('Auslegung'!$A$7:$A$206=$A15,'Auslegung'!$B$7:$B$206,"")))</f>
        <v/>
      </c>
    </row>
    <row r="16">
      <c r="A16" s="83">
        <f t="array" ref="A16">IFERROR(INDEX('Auslegung'!$A$7:$A$206,MATCH(0,COUNTIF($A$4:$A15,'Auslegung'!$A$7:$A$206)+IF('Auslegung'!$A$7:$A$206="",1,0),0)),"")</f>
        <v/>
      </c>
      <c r="B16" s="84">
        <f>IF($A16="","",SUMIF('Auslegung'!$A$7:$A$206,$A16,'Auslegung'!$K$7:$K$206))</f>
        <v/>
      </c>
      <c r="C16" s="85">
        <f>IF($A16="","",'Grundeinstellungen'!$C$6-'Grundeinstellungen'!$C$7)</f>
        <v/>
      </c>
      <c r="D16" s="65">
        <f>IF($A16="","",SUMIF('Auslegung'!$A$7:$A$206,$A16,'Auslegung'!$X$7:$X$206))</f>
        <v/>
      </c>
      <c r="E16" s="86">
        <f>IF($A16="","",SUMIF('Auslegung'!$A$7:$A$206,$A16,'Auslegung'!$AC$7:$AC$206))</f>
        <v/>
      </c>
      <c r="F16" s="87">
        <f>IF($A16="","",SUMIF('Auslegung'!$A$7:$A$206,$A16,'Auslegung'!$AD$7:$AD$206))</f>
        <v/>
      </c>
      <c r="G16" s="75">
        <f t="array" ref="G16">IF($A16="","",MAX(IF('Auslegung'!$A$7:$A$206=$A16,'Auslegung'!$AK$7:$AK$206)))</f>
        <v/>
      </c>
      <c r="H16" s="88">
        <f t="array" ref="H16">IF($A16="","",_xlfn.TEXTJOIN(", ",TRUE,IF('Auslegung'!$A$7:$A$206=$A16,'Auslegung'!$B$7:$B$206,"")))</f>
        <v/>
      </c>
    </row>
    <row r="17">
      <c r="A17" s="83">
        <f t="array" ref="A17">IFERROR(INDEX('Auslegung'!$A$7:$A$206,MATCH(0,COUNTIF($A$4:$A16,'Auslegung'!$A$7:$A$206)+IF('Auslegung'!$A$7:$A$206="",1,0),0)),"")</f>
        <v/>
      </c>
      <c r="B17" s="84">
        <f>IF($A17="","",SUMIF('Auslegung'!$A$7:$A$206,$A17,'Auslegung'!$K$7:$K$206))</f>
        <v/>
      </c>
      <c r="C17" s="85">
        <f>IF($A17="","",'Grundeinstellungen'!$C$6-'Grundeinstellungen'!$C$7)</f>
        <v/>
      </c>
      <c r="D17" s="65">
        <f>IF($A17="","",SUMIF('Auslegung'!$A$7:$A$206,$A17,'Auslegung'!$X$7:$X$206))</f>
        <v/>
      </c>
      <c r="E17" s="86">
        <f>IF($A17="","",SUMIF('Auslegung'!$A$7:$A$206,$A17,'Auslegung'!$AC$7:$AC$206))</f>
        <v/>
      </c>
      <c r="F17" s="87">
        <f>IF($A17="","",SUMIF('Auslegung'!$A$7:$A$206,$A17,'Auslegung'!$AD$7:$AD$206))</f>
        <v/>
      </c>
      <c r="G17" s="75">
        <f t="array" ref="G17">IF($A17="","",MAX(IF('Auslegung'!$A$7:$A$206=$A17,'Auslegung'!$AK$7:$AK$206)))</f>
        <v/>
      </c>
      <c r="H17" s="88">
        <f t="array" ref="H17">IF($A17="","",_xlfn.TEXTJOIN(", ",TRUE,IF('Auslegung'!$A$7:$A$206=$A17,'Auslegung'!$B$7:$B$206,"")))</f>
        <v/>
      </c>
    </row>
    <row r="18">
      <c r="A18" s="83">
        <f t="array" ref="A18">IFERROR(INDEX('Auslegung'!$A$7:$A$206,MATCH(0,COUNTIF($A$4:$A17,'Auslegung'!$A$7:$A$206)+IF('Auslegung'!$A$7:$A$206="",1,0),0)),"")</f>
        <v/>
      </c>
      <c r="B18" s="84">
        <f>IF($A18="","",SUMIF('Auslegung'!$A$7:$A$206,$A18,'Auslegung'!$K$7:$K$206))</f>
        <v/>
      </c>
      <c r="C18" s="85">
        <f>IF($A18="","",'Grundeinstellungen'!$C$6-'Grundeinstellungen'!$C$7)</f>
        <v/>
      </c>
      <c r="D18" s="65">
        <f>IF($A18="","",SUMIF('Auslegung'!$A$7:$A$206,$A18,'Auslegung'!$X$7:$X$206))</f>
        <v/>
      </c>
      <c r="E18" s="86">
        <f>IF($A18="","",SUMIF('Auslegung'!$A$7:$A$206,$A18,'Auslegung'!$AC$7:$AC$206))</f>
        <v/>
      </c>
      <c r="F18" s="87">
        <f>IF($A18="","",SUMIF('Auslegung'!$A$7:$A$206,$A18,'Auslegung'!$AD$7:$AD$206))</f>
        <v/>
      </c>
      <c r="G18" s="75">
        <f t="array" ref="G18">IF($A18="","",MAX(IF('Auslegung'!$A$7:$A$206=$A18,'Auslegung'!$AK$7:$AK$206)))</f>
        <v/>
      </c>
      <c r="H18" s="88">
        <f t="array" ref="H18">IF($A18="","",_xlfn.TEXTJOIN(", ",TRUE,IF('Auslegung'!$A$7:$A$206=$A18,'Auslegung'!$B$7:$B$206,"")))</f>
        <v/>
      </c>
    </row>
    <row r="19">
      <c r="A19" s="83">
        <f t="array" ref="A19">IFERROR(INDEX('Auslegung'!$A$7:$A$206,MATCH(0,COUNTIF($A$4:$A18,'Auslegung'!$A$7:$A$206)+IF('Auslegung'!$A$7:$A$206="",1,0),0)),"")</f>
        <v/>
      </c>
      <c r="B19" s="84">
        <f>IF($A19="","",SUMIF('Auslegung'!$A$7:$A$206,$A19,'Auslegung'!$K$7:$K$206))</f>
        <v/>
      </c>
      <c r="C19" s="85">
        <f>IF($A19="","",'Grundeinstellungen'!$C$6-'Grundeinstellungen'!$C$7)</f>
        <v/>
      </c>
      <c r="D19" s="65">
        <f>IF($A19="","",SUMIF('Auslegung'!$A$7:$A$206,$A19,'Auslegung'!$X$7:$X$206))</f>
        <v/>
      </c>
      <c r="E19" s="86">
        <f>IF($A19="","",SUMIF('Auslegung'!$A$7:$A$206,$A19,'Auslegung'!$AC$7:$AC$206))</f>
        <v/>
      </c>
      <c r="F19" s="87">
        <f>IF($A19="","",SUMIF('Auslegung'!$A$7:$A$206,$A19,'Auslegung'!$AD$7:$AD$206))</f>
        <v/>
      </c>
      <c r="G19" s="75">
        <f t="array" ref="G19">IF($A19="","",MAX(IF('Auslegung'!$A$7:$A$206=$A19,'Auslegung'!$AK$7:$AK$206)))</f>
        <v/>
      </c>
      <c r="H19" s="88">
        <f t="array" ref="H19">IF($A19="","",_xlfn.TEXTJOIN(", ",TRUE,IF('Auslegung'!$A$7:$A$206=$A19,'Auslegung'!$B$7:$B$206,"")))</f>
        <v/>
      </c>
    </row>
    <row r="20">
      <c r="A20" s="83">
        <f t="array" ref="A20">IFERROR(INDEX('Auslegung'!$A$7:$A$206,MATCH(0,COUNTIF($A$4:$A19,'Auslegung'!$A$7:$A$206)+IF('Auslegung'!$A$7:$A$206="",1,0),0)),"")</f>
        <v/>
      </c>
      <c r="B20" s="84">
        <f>IF($A20="","",SUMIF('Auslegung'!$A$7:$A$206,$A20,'Auslegung'!$K$7:$K$206))</f>
        <v/>
      </c>
      <c r="C20" s="85">
        <f>IF($A20="","",'Grundeinstellungen'!$C$6-'Grundeinstellungen'!$C$7)</f>
        <v/>
      </c>
      <c r="D20" s="65">
        <f>IF($A20="","",SUMIF('Auslegung'!$A$7:$A$206,$A20,'Auslegung'!$X$7:$X$206))</f>
        <v/>
      </c>
      <c r="E20" s="86">
        <f>IF($A20="","",SUMIF('Auslegung'!$A$7:$A$206,$A20,'Auslegung'!$AC$7:$AC$206))</f>
        <v/>
      </c>
      <c r="F20" s="87">
        <f>IF($A20="","",SUMIF('Auslegung'!$A$7:$A$206,$A20,'Auslegung'!$AD$7:$AD$206))</f>
        <v/>
      </c>
      <c r="G20" s="75">
        <f t="array" ref="G20">IF($A20="","",MAX(IF('Auslegung'!$A$7:$A$206=$A20,'Auslegung'!$AK$7:$AK$206)))</f>
        <v/>
      </c>
      <c r="H20" s="88">
        <f t="array" ref="H20">IF($A20="","",_xlfn.TEXTJOIN(", ",TRUE,IF('Auslegung'!$A$7:$A$206=$A20,'Auslegung'!$B$7:$B$206,"")))</f>
        <v/>
      </c>
    </row>
    <row r="21">
      <c r="A21" s="83">
        <f t="array" ref="A21">IFERROR(INDEX('Auslegung'!$A$7:$A$206,MATCH(0,COUNTIF($A$4:$A20,'Auslegung'!$A$7:$A$206)+IF('Auslegung'!$A$7:$A$206="",1,0),0)),"")</f>
        <v/>
      </c>
      <c r="B21" s="84">
        <f>IF($A21="","",SUMIF('Auslegung'!$A$7:$A$206,$A21,'Auslegung'!$K$7:$K$206))</f>
        <v/>
      </c>
      <c r="C21" s="85">
        <f>IF($A21="","",'Grundeinstellungen'!$C$6-'Grundeinstellungen'!$C$7)</f>
        <v/>
      </c>
      <c r="D21" s="65">
        <f>IF($A21="","",SUMIF('Auslegung'!$A$7:$A$206,$A21,'Auslegung'!$X$7:$X$206))</f>
        <v/>
      </c>
      <c r="E21" s="86">
        <f>IF($A21="","",SUMIF('Auslegung'!$A$7:$A$206,$A21,'Auslegung'!$AC$7:$AC$206))</f>
        <v/>
      </c>
      <c r="F21" s="87">
        <f>IF($A21="","",SUMIF('Auslegung'!$A$7:$A$206,$A21,'Auslegung'!$AD$7:$AD$206))</f>
        <v/>
      </c>
      <c r="G21" s="75">
        <f t="array" ref="G21">IF($A21="","",MAX(IF('Auslegung'!$A$7:$A$206=$A21,'Auslegung'!$AK$7:$AK$206)))</f>
        <v/>
      </c>
      <c r="H21" s="88">
        <f t="array" ref="H21">IF($A21="","",_xlfn.TEXTJOIN(", ",TRUE,IF('Auslegung'!$A$7:$A$206=$A21,'Auslegung'!$B$7:$B$206,"")))</f>
        <v/>
      </c>
    </row>
    <row r="22">
      <c r="A22" s="83">
        <f t="array" ref="A22">IFERROR(INDEX('Auslegung'!$A$7:$A$206,MATCH(0,COUNTIF($A$4:$A21,'Auslegung'!$A$7:$A$206)+IF('Auslegung'!$A$7:$A$206="",1,0),0)),"")</f>
        <v/>
      </c>
      <c r="B22" s="84">
        <f>IF($A22="","",SUMIF('Auslegung'!$A$7:$A$206,$A22,'Auslegung'!$K$7:$K$206))</f>
        <v/>
      </c>
      <c r="C22" s="85">
        <f>IF($A22="","",'Grundeinstellungen'!$C$6-'Grundeinstellungen'!$C$7)</f>
        <v/>
      </c>
      <c r="D22" s="65">
        <f>IF($A22="","",SUMIF('Auslegung'!$A$7:$A$206,$A22,'Auslegung'!$X$7:$X$206))</f>
        <v/>
      </c>
      <c r="E22" s="86">
        <f>IF($A22="","",SUMIF('Auslegung'!$A$7:$A$206,$A22,'Auslegung'!$AC$7:$AC$206))</f>
        <v/>
      </c>
      <c r="F22" s="87">
        <f>IF($A22="","",SUMIF('Auslegung'!$A$7:$A$206,$A22,'Auslegung'!$AD$7:$AD$206))</f>
        <v/>
      </c>
      <c r="G22" s="75">
        <f t="array" ref="G22">IF($A22="","",MAX(IF('Auslegung'!$A$7:$A$206=$A22,'Auslegung'!$AK$7:$AK$206)))</f>
        <v/>
      </c>
      <c r="H22" s="88">
        <f t="array" ref="H22">IF($A22="","",_xlfn.TEXTJOIN(", ",TRUE,IF('Auslegung'!$A$7:$A$206=$A22,'Auslegung'!$B$7:$B$206,"")))</f>
        <v/>
      </c>
    </row>
    <row r="23">
      <c r="A23" s="83">
        <f t="array" ref="A23">IFERROR(INDEX('Auslegung'!$A$7:$A$206,MATCH(0,COUNTIF($A$4:$A22,'Auslegung'!$A$7:$A$206)+IF('Auslegung'!$A$7:$A$206="",1,0),0)),"")</f>
        <v/>
      </c>
      <c r="B23" s="84">
        <f>IF($A23="","",SUMIF('Auslegung'!$A$7:$A$206,$A23,'Auslegung'!$K$7:$K$206))</f>
        <v/>
      </c>
      <c r="C23" s="85">
        <f>IF($A23="","",'Grundeinstellungen'!$C$6-'Grundeinstellungen'!$C$7)</f>
        <v/>
      </c>
      <c r="D23" s="65">
        <f>IF($A23="","",SUMIF('Auslegung'!$A$7:$A$206,$A23,'Auslegung'!$X$7:$X$206))</f>
        <v/>
      </c>
      <c r="E23" s="86">
        <f>IF($A23="","",SUMIF('Auslegung'!$A$7:$A$206,$A23,'Auslegung'!$AC$7:$AC$206))</f>
        <v/>
      </c>
      <c r="F23" s="87">
        <f>IF($A23="","",SUMIF('Auslegung'!$A$7:$A$206,$A23,'Auslegung'!$AD$7:$AD$206))</f>
        <v/>
      </c>
      <c r="G23" s="75">
        <f t="array" ref="G23">IF($A23="","",MAX(IF('Auslegung'!$A$7:$A$206=$A23,'Auslegung'!$AK$7:$AK$206)))</f>
        <v/>
      </c>
      <c r="H23" s="88">
        <f t="array" ref="H23">IF($A23="","",_xlfn.TEXTJOIN(", ",TRUE,IF('Auslegung'!$A$7:$A$206=$A23,'Auslegung'!$B$7:$B$206,"")))</f>
        <v/>
      </c>
    </row>
    <row r="24">
      <c r="A24" s="83">
        <f t="array" ref="A24">IFERROR(INDEX('Auslegung'!$A$7:$A$206,MATCH(0,COUNTIF($A$4:$A23,'Auslegung'!$A$7:$A$206)+IF('Auslegung'!$A$7:$A$206="",1,0),0)),"")</f>
        <v/>
      </c>
      <c r="B24" s="84">
        <f>IF($A24="","",SUMIF('Auslegung'!$A$7:$A$206,$A24,'Auslegung'!$K$7:$K$206))</f>
        <v/>
      </c>
      <c r="C24" s="85">
        <f>IF($A24="","",'Grundeinstellungen'!$C$6-'Grundeinstellungen'!$C$7)</f>
        <v/>
      </c>
      <c r="D24" s="65">
        <f>IF($A24="","",SUMIF('Auslegung'!$A$7:$A$206,$A24,'Auslegung'!$X$7:$X$206))</f>
        <v/>
      </c>
      <c r="E24" s="86">
        <f>IF($A24="","",SUMIF('Auslegung'!$A$7:$A$206,$A24,'Auslegung'!$AC$7:$AC$206))</f>
        <v/>
      </c>
      <c r="F24" s="87">
        <f>IF($A24="","",SUMIF('Auslegung'!$A$7:$A$206,$A24,'Auslegung'!$AD$7:$AD$206))</f>
        <v/>
      </c>
      <c r="G24" s="75">
        <f t="array" ref="G24">IF($A24="","",MAX(IF('Auslegung'!$A$7:$A$206=$A24,'Auslegung'!$AK$7:$AK$206)))</f>
        <v/>
      </c>
      <c r="H24" s="88">
        <f t="array" ref="H24">IF($A24="","",_xlfn.TEXTJOIN(", ",TRUE,IF('Auslegung'!$A$7:$A$206=$A24,'Auslegung'!$B$7:$B$206,"")))</f>
        <v/>
      </c>
    </row>
    <row r="25">
      <c r="A25" s="83">
        <f t="array" ref="A25">IFERROR(INDEX('Auslegung'!$A$7:$A$206,MATCH(0,COUNTIF($A$4:$A24,'Auslegung'!$A$7:$A$206)+IF('Auslegung'!$A$7:$A$206="",1,0),0)),"")</f>
        <v/>
      </c>
      <c r="B25" s="84">
        <f>IF($A25="","",SUMIF('Auslegung'!$A$7:$A$206,$A25,'Auslegung'!$K$7:$K$206))</f>
        <v/>
      </c>
      <c r="C25" s="85">
        <f>IF($A25="","",'Grundeinstellungen'!$C$6-'Grundeinstellungen'!$C$7)</f>
        <v/>
      </c>
      <c r="D25" s="65">
        <f>IF($A25="","",SUMIF('Auslegung'!$A$7:$A$206,$A25,'Auslegung'!$X$7:$X$206))</f>
        <v/>
      </c>
      <c r="E25" s="86">
        <f>IF($A25="","",SUMIF('Auslegung'!$A$7:$A$206,$A25,'Auslegung'!$AC$7:$AC$206))</f>
        <v/>
      </c>
      <c r="F25" s="87">
        <f>IF($A25="","",SUMIF('Auslegung'!$A$7:$A$206,$A25,'Auslegung'!$AD$7:$AD$206))</f>
        <v/>
      </c>
      <c r="G25" s="75">
        <f t="array" ref="G25">IF($A25="","",MAX(IF('Auslegung'!$A$7:$A$206=$A25,'Auslegung'!$AK$7:$AK$206)))</f>
        <v/>
      </c>
      <c r="H25" s="88">
        <f t="array" ref="H25">IF($A25="","",_xlfn.TEXTJOIN(", ",TRUE,IF('Auslegung'!$A$7:$A$206=$A25,'Auslegung'!$B$7:$B$206,"")))</f>
        <v/>
      </c>
    </row>
    <row r="26">
      <c r="A26" s="83">
        <f t="array" ref="A26">IFERROR(INDEX('Auslegung'!$A$7:$A$206,MATCH(0,COUNTIF($A$4:$A25,'Auslegung'!$A$7:$A$206)+IF('Auslegung'!$A$7:$A$206="",1,0),0)),"")</f>
        <v/>
      </c>
      <c r="B26" s="84">
        <f>IF($A26="","",SUMIF('Auslegung'!$A$7:$A$206,$A26,'Auslegung'!$K$7:$K$206))</f>
        <v/>
      </c>
      <c r="C26" s="85">
        <f>IF($A26="","",'Grundeinstellungen'!$C$6-'Grundeinstellungen'!$C$7)</f>
        <v/>
      </c>
      <c r="D26" s="65">
        <f>IF($A26="","",SUMIF('Auslegung'!$A$7:$A$206,$A26,'Auslegung'!$X$7:$X$206))</f>
        <v/>
      </c>
      <c r="E26" s="86">
        <f>IF($A26="","",SUMIF('Auslegung'!$A$7:$A$206,$A26,'Auslegung'!$AC$7:$AC$206))</f>
        <v/>
      </c>
      <c r="F26" s="87">
        <f>IF($A26="","",SUMIF('Auslegung'!$A$7:$A$206,$A26,'Auslegung'!$AD$7:$AD$206))</f>
        <v/>
      </c>
      <c r="G26" s="75">
        <f t="array" ref="G26">IF($A26="","",MAX(IF('Auslegung'!$A$7:$A$206=$A26,'Auslegung'!$AK$7:$AK$206)))</f>
        <v/>
      </c>
      <c r="H26" s="88">
        <f t="array" ref="H26">IF($A26="","",_xlfn.TEXTJOIN(", ",TRUE,IF('Auslegung'!$A$7:$A$206=$A26,'Auslegung'!$B$7:$B$206,"")))</f>
        <v/>
      </c>
    </row>
    <row r="27">
      <c r="A27" s="83">
        <f t="array" ref="A27">IFERROR(INDEX('Auslegung'!$A$7:$A$206,MATCH(0,COUNTIF($A$4:$A26,'Auslegung'!$A$7:$A$206)+IF('Auslegung'!$A$7:$A$206="",1,0),0)),"")</f>
        <v/>
      </c>
      <c r="B27" s="84">
        <f>IF($A27="","",SUMIF('Auslegung'!$A$7:$A$206,$A27,'Auslegung'!$K$7:$K$206))</f>
        <v/>
      </c>
      <c r="C27" s="85">
        <f>IF($A27="","",'Grundeinstellungen'!$C$6-'Grundeinstellungen'!$C$7)</f>
        <v/>
      </c>
      <c r="D27" s="65">
        <f>IF($A27="","",SUMIF('Auslegung'!$A$7:$A$206,$A27,'Auslegung'!$X$7:$X$206))</f>
        <v/>
      </c>
      <c r="E27" s="86">
        <f>IF($A27="","",SUMIF('Auslegung'!$A$7:$A$206,$A27,'Auslegung'!$AC$7:$AC$206))</f>
        <v/>
      </c>
      <c r="F27" s="87">
        <f>IF($A27="","",SUMIF('Auslegung'!$A$7:$A$206,$A27,'Auslegung'!$AD$7:$AD$206))</f>
        <v/>
      </c>
      <c r="G27" s="75">
        <f t="array" ref="G27">IF($A27="","",MAX(IF('Auslegung'!$A$7:$A$206=$A27,'Auslegung'!$AK$7:$AK$206)))</f>
        <v/>
      </c>
      <c r="H27" s="88">
        <f t="array" ref="H27">IF($A27="","",_xlfn.TEXTJOIN(", ",TRUE,IF('Auslegung'!$A$7:$A$206=$A27,'Auslegung'!$B$7:$B$206,"")))</f>
        <v/>
      </c>
    </row>
    <row r="28">
      <c r="A28" s="83">
        <f t="array" ref="A28">IFERROR(INDEX('Auslegung'!$A$7:$A$206,MATCH(0,COUNTIF($A$4:$A27,'Auslegung'!$A$7:$A$206)+IF('Auslegung'!$A$7:$A$206="",1,0),0)),"")</f>
        <v/>
      </c>
      <c r="B28" s="84">
        <f>IF($A28="","",SUMIF('Auslegung'!$A$7:$A$206,$A28,'Auslegung'!$K$7:$K$206))</f>
        <v/>
      </c>
      <c r="C28" s="85">
        <f>IF($A28="","",'Grundeinstellungen'!$C$6-'Grundeinstellungen'!$C$7)</f>
        <v/>
      </c>
      <c r="D28" s="65">
        <f>IF($A28="","",SUMIF('Auslegung'!$A$7:$A$206,$A28,'Auslegung'!$X$7:$X$206))</f>
        <v/>
      </c>
      <c r="E28" s="86">
        <f>IF($A28="","",SUMIF('Auslegung'!$A$7:$A$206,$A28,'Auslegung'!$AC$7:$AC$206))</f>
        <v/>
      </c>
      <c r="F28" s="87">
        <f>IF($A28="","",SUMIF('Auslegung'!$A$7:$A$206,$A28,'Auslegung'!$AD$7:$AD$206))</f>
        <v/>
      </c>
      <c r="G28" s="75">
        <f t="array" ref="G28">IF($A28="","",MAX(IF('Auslegung'!$A$7:$A$206=$A28,'Auslegung'!$AK$7:$AK$206)))</f>
        <v/>
      </c>
      <c r="H28" s="88">
        <f t="array" ref="H28">IF($A28="","",_xlfn.TEXTJOIN(", ",TRUE,IF('Auslegung'!$A$7:$A$206=$A28,'Auslegung'!$B$7:$B$206,"")))</f>
        <v/>
      </c>
    </row>
    <row r="29">
      <c r="A29" s="83">
        <f t="array" ref="A29">IFERROR(INDEX('Auslegung'!$A$7:$A$206,MATCH(0,COUNTIF($A$4:$A28,'Auslegung'!$A$7:$A$206)+IF('Auslegung'!$A$7:$A$206="",1,0),0)),"")</f>
        <v/>
      </c>
      <c r="B29" s="84">
        <f>IF($A29="","",SUMIF('Auslegung'!$A$7:$A$206,$A29,'Auslegung'!$K$7:$K$206))</f>
        <v/>
      </c>
      <c r="C29" s="85">
        <f>IF($A29="","",'Grundeinstellungen'!$C$6-'Grundeinstellungen'!$C$7)</f>
        <v/>
      </c>
      <c r="D29" s="65">
        <f>IF($A29="","",SUMIF('Auslegung'!$A$7:$A$206,$A29,'Auslegung'!$X$7:$X$206))</f>
        <v/>
      </c>
      <c r="E29" s="86">
        <f>IF($A29="","",SUMIF('Auslegung'!$A$7:$A$206,$A29,'Auslegung'!$AC$7:$AC$206))</f>
        <v/>
      </c>
      <c r="F29" s="87">
        <f>IF($A29="","",SUMIF('Auslegung'!$A$7:$A$206,$A29,'Auslegung'!$AD$7:$AD$206))</f>
        <v/>
      </c>
      <c r="G29" s="75">
        <f t="array" ref="G29">IF($A29="","",MAX(IF('Auslegung'!$A$7:$A$206=$A29,'Auslegung'!$AK$7:$AK$206)))</f>
        <v/>
      </c>
      <c r="H29" s="88">
        <f t="array" ref="H29">IF($A29="","",_xlfn.TEXTJOIN(", ",TRUE,IF('Auslegung'!$A$7:$A$206=$A29,'Auslegung'!$B$7:$B$206,"")))</f>
        <v/>
      </c>
    </row>
    <row r="30">
      <c r="A30" s="83">
        <f t="array" ref="A30">IFERROR(INDEX('Auslegung'!$A$7:$A$206,MATCH(0,COUNTIF($A$4:$A29,'Auslegung'!$A$7:$A$206)+IF('Auslegung'!$A$7:$A$206="",1,0),0)),"")</f>
        <v/>
      </c>
      <c r="B30" s="84">
        <f>IF($A30="","",SUMIF('Auslegung'!$A$7:$A$206,$A30,'Auslegung'!$K$7:$K$206))</f>
        <v/>
      </c>
      <c r="C30" s="85">
        <f>IF($A30="","",'Grundeinstellungen'!$C$6-'Grundeinstellungen'!$C$7)</f>
        <v/>
      </c>
      <c r="D30" s="65">
        <f>IF($A30="","",SUMIF('Auslegung'!$A$7:$A$206,$A30,'Auslegung'!$X$7:$X$206))</f>
        <v/>
      </c>
      <c r="E30" s="86">
        <f>IF($A30="","",SUMIF('Auslegung'!$A$7:$A$206,$A30,'Auslegung'!$AC$7:$AC$206))</f>
        <v/>
      </c>
      <c r="F30" s="87">
        <f>IF($A30="","",SUMIF('Auslegung'!$A$7:$A$206,$A30,'Auslegung'!$AD$7:$AD$206))</f>
        <v/>
      </c>
      <c r="G30" s="75">
        <f t="array" ref="G30">IF($A30="","",MAX(IF('Auslegung'!$A$7:$A$206=$A30,'Auslegung'!$AK$7:$AK$206)))</f>
        <v/>
      </c>
      <c r="H30" s="88">
        <f t="array" ref="H30">IF($A30="","",_xlfn.TEXTJOIN(", ",TRUE,IF('Auslegung'!$A$7:$A$206=$A30,'Auslegung'!$B$7:$B$206,"")))</f>
        <v/>
      </c>
    </row>
    <row r="31">
      <c r="A31" s="83">
        <f t="array" ref="A31">IFERROR(INDEX('Auslegung'!$A$7:$A$206,MATCH(0,COUNTIF($A$4:$A30,'Auslegung'!$A$7:$A$206)+IF('Auslegung'!$A$7:$A$206="",1,0),0)),"")</f>
        <v/>
      </c>
      <c r="B31" s="84">
        <f>IF($A31="","",SUMIF('Auslegung'!$A$7:$A$206,$A31,'Auslegung'!$K$7:$K$206))</f>
        <v/>
      </c>
      <c r="C31" s="85">
        <f>IF($A31="","",'Grundeinstellungen'!$C$6-'Grundeinstellungen'!$C$7)</f>
        <v/>
      </c>
      <c r="D31" s="65">
        <f>IF($A31="","",SUMIF('Auslegung'!$A$7:$A$206,$A31,'Auslegung'!$X$7:$X$206))</f>
        <v/>
      </c>
      <c r="E31" s="86">
        <f>IF($A31="","",SUMIF('Auslegung'!$A$7:$A$206,$A31,'Auslegung'!$AC$7:$AC$206))</f>
        <v/>
      </c>
      <c r="F31" s="87">
        <f>IF($A31="","",SUMIF('Auslegung'!$A$7:$A$206,$A31,'Auslegung'!$AD$7:$AD$206))</f>
        <v/>
      </c>
      <c r="G31" s="75">
        <f t="array" ref="G31">IF($A31="","",MAX(IF('Auslegung'!$A$7:$A$206=$A31,'Auslegung'!$AK$7:$AK$206)))</f>
        <v/>
      </c>
      <c r="H31" s="88">
        <f t="array" ref="H31">IF($A31="","",_xlfn.TEXTJOIN(", ",TRUE,IF('Auslegung'!$A$7:$A$206=$A31,'Auslegung'!$B$7:$B$206,"")))</f>
        <v/>
      </c>
    </row>
    <row r="32">
      <c r="A32" s="83">
        <f t="array" ref="A32">IFERROR(INDEX('Auslegung'!$A$7:$A$206,MATCH(0,COUNTIF($A$4:$A31,'Auslegung'!$A$7:$A$206)+IF('Auslegung'!$A$7:$A$206="",1,0),0)),"")</f>
        <v/>
      </c>
      <c r="B32" s="84">
        <f>IF($A32="","",SUMIF('Auslegung'!$A$7:$A$206,$A32,'Auslegung'!$K$7:$K$206))</f>
        <v/>
      </c>
      <c r="C32" s="85">
        <f>IF($A32="","",'Grundeinstellungen'!$C$6-'Grundeinstellungen'!$C$7)</f>
        <v/>
      </c>
      <c r="D32" s="65">
        <f>IF($A32="","",SUMIF('Auslegung'!$A$7:$A$206,$A32,'Auslegung'!$X$7:$X$206))</f>
        <v/>
      </c>
      <c r="E32" s="86">
        <f>IF($A32="","",SUMIF('Auslegung'!$A$7:$A$206,$A32,'Auslegung'!$AC$7:$AC$206))</f>
        <v/>
      </c>
      <c r="F32" s="87">
        <f>IF($A32="","",SUMIF('Auslegung'!$A$7:$A$206,$A32,'Auslegung'!$AD$7:$AD$206))</f>
        <v/>
      </c>
      <c r="G32" s="75">
        <f t="array" ref="G32">IF($A32="","",MAX(IF('Auslegung'!$A$7:$A$206=$A32,'Auslegung'!$AK$7:$AK$206)))</f>
        <v/>
      </c>
      <c r="H32" s="88">
        <f t="array" ref="H32">IF($A32="","",_xlfn.TEXTJOIN(", ",TRUE,IF('Auslegung'!$A$7:$A$206=$A32,'Auslegung'!$B$7:$B$206,"")))</f>
        <v/>
      </c>
    </row>
    <row r="33">
      <c r="A33" s="83">
        <f t="array" ref="A33">IFERROR(INDEX('Auslegung'!$A$7:$A$206,MATCH(0,COUNTIF($A$4:$A32,'Auslegung'!$A$7:$A$206)+IF('Auslegung'!$A$7:$A$206="",1,0),0)),"")</f>
        <v/>
      </c>
      <c r="B33" s="84">
        <f>IF($A33="","",SUMIF('Auslegung'!$A$7:$A$206,$A33,'Auslegung'!$K$7:$K$206))</f>
        <v/>
      </c>
      <c r="C33" s="85">
        <f>IF($A33="","",'Grundeinstellungen'!$C$6-'Grundeinstellungen'!$C$7)</f>
        <v/>
      </c>
      <c r="D33" s="65">
        <f>IF($A33="","",SUMIF('Auslegung'!$A$7:$A$206,$A33,'Auslegung'!$X$7:$X$206))</f>
        <v/>
      </c>
      <c r="E33" s="86">
        <f>IF($A33="","",SUMIF('Auslegung'!$A$7:$A$206,$A33,'Auslegung'!$AC$7:$AC$206))</f>
        <v/>
      </c>
      <c r="F33" s="87">
        <f>IF($A33="","",SUMIF('Auslegung'!$A$7:$A$206,$A33,'Auslegung'!$AD$7:$AD$206))</f>
        <v/>
      </c>
      <c r="G33" s="75">
        <f t="array" ref="G33">IF($A33="","",MAX(IF('Auslegung'!$A$7:$A$206=$A33,'Auslegung'!$AK$7:$AK$206)))</f>
        <v/>
      </c>
      <c r="H33" s="88">
        <f t="array" ref="H33">IF($A33="","",_xlfn.TEXTJOIN(", ",TRUE,IF('Auslegung'!$A$7:$A$206=$A33,'Auslegung'!$B$7:$B$206,"")))</f>
        <v/>
      </c>
    </row>
    <row r="34">
      <c r="A34" s="83">
        <f t="array" ref="A34">IFERROR(INDEX('Auslegung'!$A$7:$A$206,MATCH(0,COUNTIF($A$4:$A33,'Auslegung'!$A$7:$A$206)+IF('Auslegung'!$A$7:$A$206="",1,0),0)),"")</f>
        <v/>
      </c>
      <c r="B34" s="84">
        <f>IF($A34="","",SUMIF('Auslegung'!$A$7:$A$206,$A34,'Auslegung'!$K$7:$K$206))</f>
        <v/>
      </c>
      <c r="C34" s="85">
        <f>IF($A34="","",'Grundeinstellungen'!$C$6-'Grundeinstellungen'!$C$7)</f>
        <v/>
      </c>
      <c r="D34" s="65">
        <f>IF($A34="","",SUMIF('Auslegung'!$A$7:$A$206,$A34,'Auslegung'!$X$7:$X$206))</f>
        <v/>
      </c>
      <c r="E34" s="86">
        <f>IF($A34="","",SUMIF('Auslegung'!$A$7:$A$206,$A34,'Auslegung'!$AC$7:$AC$206))</f>
        <v/>
      </c>
      <c r="F34" s="87">
        <f>IF($A34="","",SUMIF('Auslegung'!$A$7:$A$206,$A34,'Auslegung'!$AD$7:$AD$206))</f>
        <v/>
      </c>
      <c r="G34" s="75">
        <f t="array" ref="G34">IF($A34="","",MAX(IF('Auslegung'!$A$7:$A$206=$A34,'Auslegung'!$AK$7:$AK$206)))</f>
        <v/>
      </c>
      <c r="H34" s="88">
        <f t="array" ref="H34">IF($A34="","",_xlfn.TEXTJOIN(", ",TRUE,IF('Auslegung'!$A$7:$A$206=$A34,'Auslegung'!$B$7:$B$206,"")))</f>
        <v/>
      </c>
    </row>
    <row r="35">
      <c r="A35" s="83">
        <f t="array" ref="A35">IFERROR(INDEX('Auslegung'!$A$7:$A$206,MATCH(0,COUNTIF($A$4:$A34,'Auslegung'!$A$7:$A$206)+IF('Auslegung'!$A$7:$A$206="",1,0),0)),"")</f>
        <v/>
      </c>
      <c r="B35" s="84">
        <f>IF($A35="","",SUMIF('Auslegung'!$A$7:$A$206,$A35,'Auslegung'!$K$7:$K$206))</f>
        <v/>
      </c>
      <c r="C35" s="85">
        <f>IF($A35="","",'Grundeinstellungen'!$C$6-'Grundeinstellungen'!$C$7)</f>
        <v/>
      </c>
      <c r="D35" s="65">
        <f>IF($A35="","",SUMIF('Auslegung'!$A$7:$A$206,$A35,'Auslegung'!$X$7:$X$206))</f>
        <v/>
      </c>
      <c r="E35" s="86">
        <f>IF($A35="","",SUMIF('Auslegung'!$A$7:$A$206,$A35,'Auslegung'!$AC$7:$AC$206))</f>
        <v/>
      </c>
      <c r="F35" s="87">
        <f>IF($A35="","",SUMIF('Auslegung'!$A$7:$A$206,$A35,'Auslegung'!$AD$7:$AD$206))</f>
        <v/>
      </c>
      <c r="G35" s="75">
        <f t="array" ref="G35">IF($A35="","",MAX(IF('Auslegung'!$A$7:$A$206=$A35,'Auslegung'!$AK$7:$AK$206)))</f>
        <v/>
      </c>
      <c r="H35" s="88">
        <f t="array" ref="H35">IF($A35="","",_xlfn.TEXTJOIN(", ",TRUE,IF('Auslegung'!$A$7:$A$206=$A35,'Auslegung'!$B$7:$B$206,"")))</f>
        <v/>
      </c>
    </row>
    <row r="36">
      <c r="A36" s="83">
        <f t="array" ref="A36">IFERROR(INDEX('Auslegung'!$A$7:$A$206,MATCH(0,COUNTIF($A$4:$A35,'Auslegung'!$A$7:$A$206)+IF('Auslegung'!$A$7:$A$206="",1,0),0)),"")</f>
        <v/>
      </c>
      <c r="B36" s="84">
        <f>IF($A36="","",SUMIF('Auslegung'!$A$7:$A$206,$A36,'Auslegung'!$K$7:$K$206))</f>
        <v/>
      </c>
      <c r="C36" s="85">
        <f>IF($A36="","",'Grundeinstellungen'!$C$6-'Grundeinstellungen'!$C$7)</f>
        <v/>
      </c>
      <c r="D36" s="65">
        <f>IF($A36="","",SUMIF('Auslegung'!$A$7:$A$206,$A36,'Auslegung'!$X$7:$X$206))</f>
        <v/>
      </c>
      <c r="E36" s="86">
        <f>IF($A36="","",SUMIF('Auslegung'!$A$7:$A$206,$A36,'Auslegung'!$AC$7:$AC$206))</f>
        <v/>
      </c>
      <c r="F36" s="87">
        <f>IF($A36="","",SUMIF('Auslegung'!$A$7:$A$206,$A36,'Auslegung'!$AD$7:$AD$206))</f>
        <v/>
      </c>
      <c r="G36" s="75">
        <f t="array" ref="G36">IF($A36="","",MAX(IF('Auslegung'!$A$7:$A$206=$A36,'Auslegung'!$AK$7:$AK$206)))</f>
        <v/>
      </c>
      <c r="H36" s="88">
        <f t="array" ref="H36">IF($A36="","",_xlfn.TEXTJOIN(", ",TRUE,IF('Auslegung'!$A$7:$A$206=$A36,'Auslegung'!$B$7:$B$206,"")))</f>
        <v/>
      </c>
    </row>
    <row r="37">
      <c r="A37" s="83">
        <f t="array" ref="A37">IFERROR(INDEX('Auslegung'!$A$7:$A$206,MATCH(0,COUNTIF($A$4:$A36,'Auslegung'!$A$7:$A$206)+IF('Auslegung'!$A$7:$A$206="",1,0),0)),"")</f>
        <v/>
      </c>
      <c r="B37" s="84">
        <f>IF($A37="","",SUMIF('Auslegung'!$A$7:$A$206,$A37,'Auslegung'!$K$7:$K$206))</f>
        <v/>
      </c>
      <c r="C37" s="85">
        <f>IF($A37="","",'Grundeinstellungen'!$C$6-'Grundeinstellungen'!$C$7)</f>
        <v/>
      </c>
      <c r="D37" s="65">
        <f>IF($A37="","",SUMIF('Auslegung'!$A$7:$A$206,$A37,'Auslegung'!$X$7:$X$206))</f>
        <v/>
      </c>
      <c r="E37" s="86">
        <f>IF($A37="","",SUMIF('Auslegung'!$A$7:$A$206,$A37,'Auslegung'!$AC$7:$AC$206))</f>
        <v/>
      </c>
      <c r="F37" s="87">
        <f>IF($A37="","",SUMIF('Auslegung'!$A$7:$A$206,$A37,'Auslegung'!$AD$7:$AD$206))</f>
        <v/>
      </c>
      <c r="G37" s="75">
        <f t="array" ref="G37">IF($A37="","",MAX(IF('Auslegung'!$A$7:$A$206=$A37,'Auslegung'!$AK$7:$AK$206)))</f>
        <v/>
      </c>
      <c r="H37" s="88">
        <f t="array" ref="H37">IF($A37="","",_xlfn.TEXTJOIN(", ",TRUE,IF('Auslegung'!$A$7:$A$206=$A37,'Auslegung'!$B$7:$B$206,"")))</f>
        <v/>
      </c>
    </row>
    <row r="38">
      <c r="A38" s="83">
        <f t="array" ref="A38">IFERROR(INDEX('Auslegung'!$A$7:$A$206,MATCH(0,COUNTIF($A$4:$A37,'Auslegung'!$A$7:$A$206)+IF('Auslegung'!$A$7:$A$206="",1,0),0)),"")</f>
        <v/>
      </c>
      <c r="B38" s="84">
        <f>IF($A38="","",SUMIF('Auslegung'!$A$7:$A$206,$A38,'Auslegung'!$K$7:$K$206))</f>
        <v/>
      </c>
      <c r="C38" s="85">
        <f>IF($A38="","",'Grundeinstellungen'!$C$6-'Grundeinstellungen'!$C$7)</f>
        <v/>
      </c>
      <c r="D38" s="65">
        <f>IF($A38="","",SUMIF('Auslegung'!$A$7:$A$206,$A38,'Auslegung'!$X$7:$X$206))</f>
        <v/>
      </c>
      <c r="E38" s="86">
        <f>IF($A38="","",SUMIF('Auslegung'!$A$7:$A$206,$A38,'Auslegung'!$AC$7:$AC$206))</f>
        <v/>
      </c>
      <c r="F38" s="87">
        <f>IF($A38="","",SUMIF('Auslegung'!$A$7:$A$206,$A38,'Auslegung'!$AD$7:$AD$206))</f>
        <v/>
      </c>
      <c r="G38" s="75">
        <f t="array" ref="G38">IF($A38="","",MAX(IF('Auslegung'!$A$7:$A$206=$A38,'Auslegung'!$AK$7:$AK$206)))</f>
        <v/>
      </c>
      <c r="H38" s="88">
        <f t="array" ref="H38">IF($A38="","",_xlfn.TEXTJOIN(", ",TRUE,IF('Auslegung'!$A$7:$A$206=$A38,'Auslegung'!$B$7:$B$206,"")))</f>
        <v/>
      </c>
    </row>
    <row r="39">
      <c r="A39" s="83">
        <f t="array" ref="A39">IFERROR(INDEX('Auslegung'!$A$7:$A$206,MATCH(0,COUNTIF($A$4:$A38,'Auslegung'!$A$7:$A$206)+IF('Auslegung'!$A$7:$A$206="",1,0),0)),"")</f>
        <v/>
      </c>
      <c r="B39" s="84">
        <f>IF($A39="","",SUMIF('Auslegung'!$A$7:$A$206,$A39,'Auslegung'!$K$7:$K$206))</f>
        <v/>
      </c>
      <c r="C39" s="85">
        <f>IF($A39="","",'Grundeinstellungen'!$C$6-'Grundeinstellungen'!$C$7)</f>
        <v/>
      </c>
      <c r="D39" s="65">
        <f>IF($A39="","",SUMIF('Auslegung'!$A$7:$A$206,$A39,'Auslegung'!$X$7:$X$206))</f>
        <v/>
      </c>
      <c r="E39" s="86">
        <f>IF($A39="","",SUMIF('Auslegung'!$A$7:$A$206,$A39,'Auslegung'!$AC$7:$AC$206))</f>
        <v/>
      </c>
      <c r="F39" s="87">
        <f>IF($A39="","",SUMIF('Auslegung'!$A$7:$A$206,$A39,'Auslegung'!$AD$7:$AD$206))</f>
        <v/>
      </c>
      <c r="G39" s="75">
        <f t="array" ref="G39">IF($A39="","",MAX(IF('Auslegung'!$A$7:$A$206=$A39,'Auslegung'!$AK$7:$AK$206)))</f>
        <v/>
      </c>
      <c r="H39" s="88">
        <f t="array" ref="H39">IF($A39="","",_xlfn.TEXTJOIN(", ",TRUE,IF('Auslegung'!$A$7:$A$206=$A39,'Auslegung'!$B$7:$B$206,"")))</f>
        <v/>
      </c>
    </row>
    <row r="40">
      <c r="A40" s="83">
        <f t="array" ref="A40">IFERROR(INDEX('Auslegung'!$A$7:$A$206,MATCH(0,COUNTIF($A$4:$A39,'Auslegung'!$A$7:$A$206)+IF('Auslegung'!$A$7:$A$206="",1,0),0)),"")</f>
        <v/>
      </c>
      <c r="B40" s="84">
        <f>IF($A40="","",SUMIF('Auslegung'!$A$7:$A$206,$A40,'Auslegung'!$K$7:$K$206))</f>
        <v/>
      </c>
      <c r="C40" s="85">
        <f>IF($A40="","",'Grundeinstellungen'!$C$6-'Grundeinstellungen'!$C$7)</f>
        <v/>
      </c>
      <c r="D40" s="65">
        <f>IF($A40="","",SUMIF('Auslegung'!$A$7:$A$206,$A40,'Auslegung'!$X$7:$X$206))</f>
        <v/>
      </c>
      <c r="E40" s="86">
        <f>IF($A40="","",SUMIF('Auslegung'!$A$7:$A$206,$A40,'Auslegung'!$AC$7:$AC$206))</f>
        <v/>
      </c>
      <c r="F40" s="87">
        <f>IF($A40="","",SUMIF('Auslegung'!$A$7:$A$206,$A40,'Auslegung'!$AD$7:$AD$206))</f>
        <v/>
      </c>
      <c r="G40" s="75">
        <f t="array" ref="G40">IF($A40="","",MAX(IF('Auslegung'!$A$7:$A$206=$A40,'Auslegung'!$AK$7:$AK$206)))</f>
        <v/>
      </c>
      <c r="H40" s="88">
        <f t="array" ref="H40">IF($A40="","",_xlfn.TEXTJOIN(", ",TRUE,IF('Auslegung'!$A$7:$A$206=$A40,'Auslegung'!$B$7:$B$206,"")))</f>
        <v/>
      </c>
    </row>
    <row r="41">
      <c r="A41" s="83">
        <f t="array" ref="A41">IFERROR(INDEX('Auslegung'!$A$7:$A$206,MATCH(0,COUNTIF($A$4:$A40,'Auslegung'!$A$7:$A$206)+IF('Auslegung'!$A$7:$A$206="",1,0),0)),"")</f>
        <v/>
      </c>
      <c r="B41" s="84">
        <f>IF($A41="","",SUMIF('Auslegung'!$A$7:$A$206,$A41,'Auslegung'!$K$7:$K$206))</f>
        <v/>
      </c>
      <c r="C41" s="85">
        <f>IF($A41="","",'Grundeinstellungen'!$C$6-'Grundeinstellungen'!$C$7)</f>
        <v/>
      </c>
      <c r="D41" s="65">
        <f>IF($A41="","",SUMIF('Auslegung'!$A$7:$A$206,$A41,'Auslegung'!$X$7:$X$206))</f>
        <v/>
      </c>
      <c r="E41" s="86">
        <f>IF($A41="","",SUMIF('Auslegung'!$A$7:$A$206,$A41,'Auslegung'!$AC$7:$AC$206))</f>
        <v/>
      </c>
      <c r="F41" s="87">
        <f>IF($A41="","",SUMIF('Auslegung'!$A$7:$A$206,$A41,'Auslegung'!$AD$7:$AD$206))</f>
        <v/>
      </c>
      <c r="G41" s="75">
        <f t="array" ref="G41">IF($A41="","",MAX(IF('Auslegung'!$A$7:$A$206=$A41,'Auslegung'!$AK$7:$AK$206)))</f>
        <v/>
      </c>
      <c r="H41" s="88">
        <f t="array" ref="H41">IF($A41="","",_xlfn.TEXTJOIN(", ",TRUE,IF('Auslegung'!$A$7:$A$206=$A41,'Auslegung'!$B$7:$B$206,"")))</f>
        <v/>
      </c>
    </row>
    <row r="42">
      <c r="A42" s="83">
        <f t="array" ref="A42">IFERROR(INDEX('Auslegung'!$A$7:$A$206,MATCH(0,COUNTIF($A$4:$A41,'Auslegung'!$A$7:$A$206)+IF('Auslegung'!$A$7:$A$206="",1,0),0)),"")</f>
        <v/>
      </c>
      <c r="B42" s="84">
        <f>IF($A42="","",SUMIF('Auslegung'!$A$7:$A$206,$A42,'Auslegung'!$K$7:$K$206))</f>
        <v/>
      </c>
      <c r="C42" s="85">
        <f>IF($A42="","",'Grundeinstellungen'!$C$6-'Grundeinstellungen'!$C$7)</f>
        <v/>
      </c>
      <c r="D42" s="65">
        <f>IF($A42="","",SUMIF('Auslegung'!$A$7:$A$206,$A42,'Auslegung'!$X$7:$X$206))</f>
        <v/>
      </c>
      <c r="E42" s="86">
        <f>IF($A42="","",SUMIF('Auslegung'!$A$7:$A$206,$A42,'Auslegung'!$AC$7:$AC$206))</f>
        <v/>
      </c>
      <c r="F42" s="87">
        <f>IF($A42="","",SUMIF('Auslegung'!$A$7:$A$206,$A42,'Auslegung'!$AD$7:$AD$206))</f>
        <v/>
      </c>
      <c r="G42" s="75">
        <f t="array" ref="G42">IF($A42="","",MAX(IF('Auslegung'!$A$7:$A$206=$A42,'Auslegung'!$AK$7:$AK$206)))</f>
        <v/>
      </c>
      <c r="H42" s="88">
        <f t="array" ref="H42">IF($A42="","",_xlfn.TEXTJOIN(", ",TRUE,IF('Auslegung'!$A$7:$A$206=$A42,'Auslegung'!$B$7:$B$206,"")))</f>
        <v/>
      </c>
    </row>
    <row r="43">
      <c r="A43" s="83">
        <f t="array" ref="A43">IFERROR(INDEX('Auslegung'!$A$7:$A$206,MATCH(0,COUNTIF($A$4:$A42,'Auslegung'!$A$7:$A$206)+IF('Auslegung'!$A$7:$A$206="",1,0),0)),"")</f>
        <v/>
      </c>
      <c r="B43" s="84">
        <f>IF($A43="","",SUMIF('Auslegung'!$A$7:$A$206,$A43,'Auslegung'!$K$7:$K$206))</f>
        <v/>
      </c>
      <c r="C43" s="85">
        <f>IF($A43="","",'Grundeinstellungen'!$C$6-'Grundeinstellungen'!$C$7)</f>
        <v/>
      </c>
      <c r="D43" s="65">
        <f>IF($A43="","",SUMIF('Auslegung'!$A$7:$A$206,$A43,'Auslegung'!$X$7:$X$206))</f>
        <v/>
      </c>
      <c r="E43" s="86">
        <f>IF($A43="","",SUMIF('Auslegung'!$A$7:$A$206,$A43,'Auslegung'!$AC$7:$AC$206))</f>
        <v/>
      </c>
      <c r="F43" s="87">
        <f>IF($A43="","",SUMIF('Auslegung'!$A$7:$A$206,$A43,'Auslegung'!$AD$7:$AD$206))</f>
        <v/>
      </c>
      <c r="G43" s="75">
        <f t="array" ref="G43">IF($A43="","",MAX(IF('Auslegung'!$A$7:$A$206=$A43,'Auslegung'!$AK$7:$AK$206)))</f>
        <v/>
      </c>
      <c r="H43" s="88">
        <f t="array" ref="H43">IF($A43="","",_xlfn.TEXTJOIN(", ",TRUE,IF('Auslegung'!$A$7:$A$206=$A43,'Auslegung'!$B$7:$B$206,"")))</f>
        <v/>
      </c>
    </row>
    <row r="44">
      <c r="A44" s="83">
        <f t="array" ref="A44">IFERROR(INDEX('Auslegung'!$A$7:$A$206,MATCH(0,COUNTIF($A$4:$A43,'Auslegung'!$A$7:$A$206)+IF('Auslegung'!$A$7:$A$206="",1,0),0)),"")</f>
        <v/>
      </c>
      <c r="B44" s="84">
        <f>IF($A44="","",SUMIF('Auslegung'!$A$7:$A$206,$A44,'Auslegung'!$K$7:$K$206))</f>
        <v/>
      </c>
      <c r="C44" s="85">
        <f>IF($A44="","",'Grundeinstellungen'!$C$6-'Grundeinstellungen'!$C$7)</f>
        <v/>
      </c>
      <c r="D44" s="65">
        <f>IF($A44="","",SUMIF('Auslegung'!$A$7:$A$206,$A44,'Auslegung'!$X$7:$X$206))</f>
        <v/>
      </c>
      <c r="E44" s="86">
        <f>IF($A44="","",SUMIF('Auslegung'!$A$7:$A$206,$A44,'Auslegung'!$AC$7:$AC$206))</f>
        <v/>
      </c>
      <c r="F44" s="87">
        <f>IF($A44="","",SUMIF('Auslegung'!$A$7:$A$206,$A44,'Auslegung'!$AD$7:$AD$206))</f>
        <v/>
      </c>
      <c r="G44" s="75">
        <f t="array" ref="G44">IF($A44="","",MAX(IF('Auslegung'!$A$7:$A$206=$A44,'Auslegung'!$AK$7:$AK$206)))</f>
        <v/>
      </c>
      <c r="H44" s="88">
        <f t="array" ref="H44">IF($A44="","",_xlfn.TEXTJOIN(", ",TRUE,IF('Auslegung'!$A$7:$A$206=$A44,'Auslegung'!$B$7:$B$206,"")))</f>
        <v/>
      </c>
    </row>
    <row r="45">
      <c r="A45" s="83">
        <f t="array" ref="A45">IFERROR(INDEX('Auslegung'!$A$7:$A$206,MATCH(0,COUNTIF($A$4:$A44,'Auslegung'!$A$7:$A$206)+IF('Auslegung'!$A$7:$A$206="",1,0),0)),"")</f>
        <v/>
      </c>
      <c r="B45" s="84">
        <f>IF($A45="","",SUMIF('Auslegung'!$A$7:$A$206,$A45,'Auslegung'!$K$7:$K$206))</f>
        <v/>
      </c>
      <c r="C45" s="85">
        <f>IF($A45="","",'Grundeinstellungen'!$C$6-'Grundeinstellungen'!$C$7)</f>
        <v/>
      </c>
      <c r="D45" s="65">
        <f>IF($A45="","",SUMIF('Auslegung'!$A$7:$A$206,$A45,'Auslegung'!$X$7:$X$206))</f>
        <v/>
      </c>
      <c r="E45" s="86">
        <f>IF($A45="","",SUMIF('Auslegung'!$A$7:$A$206,$A45,'Auslegung'!$AC$7:$AC$206))</f>
        <v/>
      </c>
      <c r="F45" s="87">
        <f>IF($A45="","",SUMIF('Auslegung'!$A$7:$A$206,$A45,'Auslegung'!$AD$7:$AD$206))</f>
        <v/>
      </c>
      <c r="G45" s="75">
        <f t="array" ref="G45">IF($A45="","",MAX(IF('Auslegung'!$A$7:$A$206=$A45,'Auslegung'!$AK$7:$AK$206)))</f>
        <v/>
      </c>
      <c r="H45" s="88">
        <f t="array" ref="H45">IF($A45="","",_xlfn.TEXTJOIN(", ",TRUE,IF('Auslegung'!$A$7:$A$206=$A45,'Auslegung'!$B$7:$B$206,"")))</f>
        <v/>
      </c>
    </row>
    <row r="46">
      <c r="A46" s="83">
        <f t="array" ref="A46">IFERROR(INDEX('Auslegung'!$A$7:$A$206,MATCH(0,COUNTIF($A$4:$A45,'Auslegung'!$A$7:$A$206)+IF('Auslegung'!$A$7:$A$206="",1,0),0)),"")</f>
        <v/>
      </c>
      <c r="B46" s="84">
        <f>IF($A46="","",SUMIF('Auslegung'!$A$7:$A$206,$A46,'Auslegung'!$K$7:$K$206))</f>
        <v/>
      </c>
      <c r="C46" s="85">
        <f>IF($A46="","",'Grundeinstellungen'!$C$6-'Grundeinstellungen'!$C$7)</f>
        <v/>
      </c>
      <c r="D46" s="65">
        <f>IF($A46="","",SUMIF('Auslegung'!$A$7:$A$206,$A46,'Auslegung'!$X$7:$X$206))</f>
        <v/>
      </c>
      <c r="E46" s="86">
        <f>IF($A46="","",SUMIF('Auslegung'!$A$7:$A$206,$A46,'Auslegung'!$AC$7:$AC$206))</f>
        <v/>
      </c>
      <c r="F46" s="87">
        <f>IF($A46="","",SUMIF('Auslegung'!$A$7:$A$206,$A46,'Auslegung'!$AD$7:$AD$206))</f>
        <v/>
      </c>
      <c r="G46" s="75">
        <f t="array" ref="G46">IF($A46="","",MAX(IF('Auslegung'!$A$7:$A$206=$A46,'Auslegung'!$AK$7:$AK$206)))</f>
        <v/>
      </c>
      <c r="H46" s="88">
        <f t="array" ref="H46">IF($A46="","",_xlfn.TEXTJOIN(", ",TRUE,IF('Auslegung'!$A$7:$A$206=$A46,'Auslegung'!$B$7:$B$206,"")))</f>
        <v/>
      </c>
    </row>
    <row r="47">
      <c r="A47" s="83">
        <f t="array" ref="A47">IFERROR(INDEX('Auslegung'!$A$7:$A$206,MATCH(0,COUNTIF($A$4:$A46,'Auslegung'!$A$7:$A$206)+IF('Auslegung'!$A$7:$A$206="",1,0),0)),"")</f>
        <v/>
      </c>
      <c r="B47" s="84">
        <f>IF($A47="","",SUMIF('Auslegung'!$A$7:$A$206,$A47,'Auslegung'!$K$7:$K$206))</f>
        <v/>
      </c>
      <c r="C47" s="85">
        <f>IF($A47="","",'Grundeinstellungen'!$C$6-'Grundeinstellungen'!$C$7)</f>
        <v/>
      </c>
      <c r="D47" s="65">
        <f>IF($A47="","",SUMIF('Auslegung'!$A$7:$A$206,$A47,'Auslegung'!$X$7:$X$206))</f>
        <v/>
      </c>
      <c r="E47" s="86">
        <f>IF($A47="","",SUMIF('Auslegung'!$A$7:$A$206,$A47,'Auslegung'!$AC$7:$AC$206))</f>
        <v/>
      </c>
      <c r="F47" s="87">
        <f>IF($A47="","",SUMIF('Auslegung'!$A$7:$A$206,$A47,'Auslegung'!$AD$7:$AD$206))</f>
        <v/>
      </c>
      <c r="G47" s="75">
        <f t="array" ref="G47">IF($A47="","",MAX(IF('Auslegung'!$A$7:$A$206=$A47,'Auslegung'!$AK$7:$AK$206)))</f>
        <v/>
      </c>
      <c r="H47" s="88">
        <f t="array" ref="H47">IF($A47="","",_xlfn.TEXTJOIN(", ",TRUE,IF('Auslegung'!$A$7:$A$206=$A47,'Auslegung'!$B$7:$B$206,"")))</f>
        <v/>
      </c>
    </row>
    <row r="48">
      <c r="A48" s="83">
        <f t="array" ref="A48">IFERROR(INDEX('Auslegung'!$A$7:$A$206,MATCH(0,COUNTIF($A$4:$A47,'Auslegung'!$A$7:$A$206)+IF('Auslegung'!$A$7:$A$206="",1,0),0)),"")</f>
        <v/>
      </c>
      <c r="B48" s="84">
        <f>IF($A48="","",SUMIF('Auslegung'!$A$7:$A$206,$A48,'Auslegung'!$K$7:$K$206))</f>
        <v/>
      </c>
      <c r="C48" s="85">
        <f>IF($A48="","",'Grundeinstellungen'!$C$6-'Grundeinstellungen'!$C$7)</f>
        <v/>
      </c>
      <c r="D48" s="65">
        <f>IF($A48="","",SUMIF('Auslegung'!$A$7:$A$206,$A48,'Auslegung'!$X$7:$X$206))</f>
        <v/>
      </c>
      <c r="E48" s="86">
        <f>IF($A48="","",SUMIF('Auslegung'!$A$7:$A$206,$A48,'Auslegung'!$AC$7:$AC$206))</f>
        <v/>
      </c>
      <c r="F48" s="87">
        <f>IF($A48="","",SUMIF('Auslegung'!$A$7:$A$206,$A48,'Auslegung'!$AD$7:$AD$206))</f>
        <v/>
      </c>
      <c r="G48" s="75">
        <f t="array" ref="G48">IF($A48="","",MAX(IF('Auslegung'!$A$7:$A$206=$A48,'Auslegung'!$AK$7:$AK$206)))</f>
        <v/>
      </c>
      <c r="H48" s="88">
        <f t="array" ref="H48">IF($A48="","",_xlfn.TEXTJOIN(", ",TRUE,IF('Auslegung'!$A$7:$A$206=$A48,'Auslegung'!$B$7:$B$206,"")))</f>
        <v/>
      </c>
    </row>
    <row r="49">
      <c r="A49" s="83">
        <f t="array" ref="A49">IFERROR(INDEX('Auslegung'!$A$7:$A$206,MATCH(0,COUNTIF($A$4:$A48,'Auslegung'!$A$7:$A$206)+IF('Auslegung'!$A$7:$A$206="",1,0),0)),"")</f>
        <v/>
      </c>
      <c r="B49" s="84">
        <f>IF($A49="","",SUMIF('Auslegung'!$A$7:$A$206,$A49,'Auslegung'!$K$7:$K$206))</f>
        <v/>
      </c>
      <c r="C49" s="85">
        <f>IF($A49="","",'Grundeinstellungen'!$C$6-'Grundeinstellungen'!$C$7)</f>
        <v/>
      </c>
      <c r="D49" s="65">
        <f>IF($A49="","",SUMIF('Auslegung'!$A$7:$A$206,$A49,'Auslegung'!$X$7:$X$206))</f>
        <v/>
      </c>
      <c r="E49" s="86">
        <f>IF($A49="","",SUMIF('Auslegung'!$A$7:$A$206,$A49,'Auslegung'!$AC$7:$AC$206))</f>
        <v/>
      </c>
      <c r="F49" s="87">
        <f>IF($A49="","",SUMIF('Auslegung'!$A$7:$A$206,$A49,'Auslegung'!$AD$7:$AD$206))</f>
        <v/>
      </c>
      <c r="G49" s="75">
        <f t="array" ref="G49">IF($A49="","",MAX(IF('Auslegung'!$A$7:$A$206=$A49,'Auslegung'!$AK$7:$AK$206)))</f>
        <v/>
      </c>
      <c r="H49" s="88">
        <f t="array" ref="H49">IF($A49="","",_xlfn.TEXTJOIN(", ",TRUE,IF('Auslegung'!$A$7:$A$206=$A49,'Auslegung'!$B$7:$B$206,"")))</f>
        <v/>
      </c>
    </row>
    <row r="50">
      <c r="A50" s="83">
        <f t="array" ref="A50">IFERROR(INDEX('Auslegung'!$A$7:$A$206,MATCH(0,COUNTIF($A$4:$A49,'Auslegung'!$A$7:$A$206)+IF('Auslegung'!$A$7:$A$206="",1,0),0)),"")</f>
        <v/>
      </c>
      <c r="B50" s="84">
        <f>IF($A50="","",SUMIF('Auslegung'!$A$7:$A$206,$A50,'Auslegung'!$K$7:$K$206))</f>
        <v/>
      </c>
      <c r="C50" s="85">
        <f>IF($A50="","",'Grundeinstellungen'!$C$6-'Grundeinstellungen'!$C$7)</f>
        <v/>
      </c>
      <c r="D50" s="65">
        <f>IF($A50="","",SUMIF('Auslegung'!$A$7:$A$206,$A50,'Auslegung'!$X$7:$X$206))</f>
        <v/>
      </c>
      <c r="E50" s="86">
        <f>IF($A50="","",SUMIF('Auslegung'!$A$7:$A$206,$A50,'Auslegung'!$AC$7:$AC$206))</f>
        <v/>
      </c>
      <c r="F50" s="87">
        <f>IF($A50="","",SUMIF('Auslegung'!$A$7:$A$206,$A50,'Auslegung'!$AD$7:$AD$206))</f>
        <v/>
      </c>
      <c r="G50" s="75">
        <f t="array" ref="G50">IF($A50="","",MAX(IF('Auslegung'!$A$7:$A$206=$A50,'Auslegung'!$AK$7:$AK$206)))</f>
        <v/>
      </c>
      <c r="H50" s="88">
        <f t="array" ref="H50">IF($A50="","",_xlfn.TEXTJOIN(", ",TRUE,IF('Auslegung'!$A$7:$A$206=$A50,'Auslegung'!$B$7:$B$206,"")))</f>
        <v/>
      </c>
    </row>
    <row r="51">
      <c r="A51" s="83">
        <f t="array" ref="A51">IFERROR(INDEX('Auslegung'!$A$7:$A$206,MATCH(0,COUNTIF($A$4:$A50,'Auslegung'!$A$7:$A$206)+IF('Auslegung'!$A$7:$A$206="",1,0),0)),"")</f>
        <v/>
      </c>
      <c r="B51" s="84">
        <f>IF($A51="","",SUMIF('Auslegung'!$A$7:$A$206,$A51,'Auslegung'!$K$7:$K$206))</f>
        <v/>
      </c>
      <c r="C51" s="85">
        <f>IF($A51="","",'Grundeinstellungen'!$C$6-'Grundeinstellungen'!$C$7)</f>
        <v/>
      </c>
      <c r="D51" s="65">
        <f>IF($A51="","",SUMIF('Auslegung'!$A$7:$A$206,$A51,'Auslegung'!$X$7:$X$206))</f>
        <v/>
      </c>
      <c r="E51" s="86">
        <f>IF($A51="","",SUMIF('Auslegung'!$A$7:$A$206,$A51,'Auslegung'!$AC$7:$AC$206))</f>
        <v/>
      </c>
      <c r="F51" s="87">
        <f>IF($A51="","",SUMIF('Auslegung'!$A$7:$A$206,$A51,'Auslegung'!$AD$7:$AD$206))</f>
        <v/>
      </c>
      <c r="G51" s="75">
        <f t="array" ref="G51">IF($A51="","",MAX(IF('Auslegung'!$A$7:$A$206=$A51,'Auslegung'!$AK$7:$AK$206)))</f>
        <v/>
      </c>
      <c r="H51" s="88">
        <f t="array" ref="H51">IF($A51="","",_xlfn.TEXTJOIN(", ",TRUE,IF('Auslegung'!$A$7:$A$206=$A51,'Auslegung'!$B$7:$B$206,"")))</f>
        <v/>
      </c>
    </row>
    <row r="52">
      <c r="A52" s="83">
        <f t="array" ref="A52">IFERROR(INDEX('Auslegung'!$A$7:$A$206,MATCH(0,COUNTIF($A$4:$A51,'Auslegung'!$A$7:$A$206)+IF('Auslegung'!$A$7:$A$206="",1,0),0)),"")</f>
        <v/>
      </c>
      <c r="B52" s="84">
        <f>IF($A52="","",SUMIF('Auslegung'!$A$7:$A$206,$A52,'Auslegung'!$K$7:$K$206))</f>
        <v/>
      </c>
      <c r="C52" s="85">
        <f>IF($A52="","",'Grundeinstellungen'!$C$6-'Grundeinstellungen'!$C$7)</f>
        <v/>
      </c>
      <c r="D52" s="65">
        <f>IF($A52="","",SUMIF('Auslegung'!$A$7:$A$206,$A52,'Auslegung'!$X$7:$X$206))</f>
        <v/>
      </c>
      <c r="E52" s="86">
        <f>IF($A52="","",SUMIF('Auslegung'!$A$7:$A$206,$A52,'Auslegung'!$AC$7:$AC$206))</f>
        <v/>
      </c>
      <c r="F52" s="87">
        <f>IF($A52="","",SUMIF('Auslegung'!$A$7:$A$206,$A52,'Auslegung'!$AD$7:$AD$206))</f>
        <v/>
      </c>
      <c r="G52" s="75">
        <f t="array" ref="G52">IF($A52="","",MAX(IF('Auslegung'!$A$7:$A$206=$A52,'Auslegung'!$AK$7:$AK$206)))</f>
        <v/>
      </c>
      <c r="H52" s="88">
        <f t="array" ref="H52">IF($A52="","",_xlfn.TEXTJOIN(", ",TRUE,IF('Auslegung'!$A$7:$A$206=$A52,'Auslegung'!$B$7:$B$206,"")))</f>
        <v/>
      </c>
    </row>
    <row r="53">
      <c r="A53" s="83">
        <f t="array" ref="A53">IFERROR(INDEX('Auslegung'!$A$7:$A$206,MATCH(0,COUNTIF($A$4:$A52,'Auslegung'!$A$7:$A$206)+IF('Auslegung'!$A$7:$A$206="",1,0),0)),"")</f>
        <v/>
      </c>
      <c r="B53" s="84">
        <f>IF($A53="","",SUMIF('Auslegung'!$A$7:$A$206,$A53,'Auslegung'!$K$7:$K$206))</f>
        <v/>
      </c>
      <c r="C53" s="85">
        <f>IF($A53="","",'Grundeinstellungen'!$C$6-'Grundeinstellungen'!$C$7)</f>
        <v/>
      </c>
      <c r="D53" s="65">
        <f>IF($A53="","",SUMIF('Auslegung'!$A$7:$A$206,$A53,'Auslegung'!$X$7:$X$206))</f>
        <v/>
      </c>
      <c r="E53" s="86">
        <f>IF($A53="","",SUMIF('Auslegung'!$A$7:$A$206,$A53,'Auslegung'!$AC$7:$AC$206))</f>
        <v/>
      </c>
      <c r="F53" s="87">
        <f>IF($A53="","",SUMIF('Auslegung'!$A$7:$A$206,$A53,'Auslegung'!$AD$7:$AD$206))</f>
        <v/>
      </c>
      <c r="G53" s="75">
        <f t="array" ref="G53">IF($A53="","",MAX(IF('Auslegung'!$A$7:$A$206=$A53,'Auslegung'!$AK$7:$AK$206)))</f>
        <v/>
      </c>
      <c r="H53" s="88">
        <f t="array" ref="H53">IF($A53="","",_xlfn.TEXTJOIN(", ",TRUE,IF('Auslegung'!$A$7:$A$206=$A53,'Auslegung'!$B$7:$B$206,"")))</f>
        <v/>
      </c>
    </row>
    <row r="54">
      <c r="A54" s="83">
        <f t="array" ref="A54">IFERROR(INDEX('Auslegung'!$A$7:$A$206,MATCH(0,COUNTIF($A$4:$A53,'Auslegung'!$A$7:$A$206)+IF('Auslegung'!$A$7:$A$206="",1,0),0)),"")</f>
        <v/>
      </c>
      <c r="B54" s="84">
        <f>IF($A54="","",SUMIF('Auslegung'!$A$7:$A$206,$A54,'Auslegung'!$K$7:$K$206))</f>
        <v/>
      </c>
      <c r="C54" s="85">
        <f>IF($A54="","",'Grundeinstellungen'!$C$6-'Grundeinstellungen'!$C$7)</f>
        <v/>
      </c>
      <c r="D54" s="65">
        <f>IF($A54="","",SUMIF('Auslegung'!$A$7:$A$206,$A54,'Auslegung'!$X$7:$X$206))</f>
        <v/>
      </c>
      <c r="E54" s="86">
        <f>IF($A54="","",SUMIF('Auslegung'!$A$7:$A$206,$A54,'Auslegung'!$AC$7:$AC$206))</f>
        <v/>
      </c>
      <c r="F54" s="87">
        <f>IF($A54="","",SUMIF('Auslegung'!$A$7:$A$206,$A54,'Auslegung'!$AD$7:$AD$206))</f>
        <v/>
      </c>
      <c r="G54" s="75">
        <f t="array" ref="G54">IF($A54="","",MAX(IF('Auslegung'!$A$7:$A$206=$A54,'Auslegung'!$AK$7:$AK$206)))</f>
        <v/>
      </c>
      <c r="H54" s="88">
        <f t="array" ref="H54">IF($A54="","",_xlfn.TEXTJOIN(", ",TRUE,IF('Auslegung'!$A$7:$A$206=$A54,'Auslegung'!$B$7:$B$206,"")))</f>
        <v/>
      </c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</row>
    <row r="56">
      <c r="A56" s="28" t="inlineStr">
        <is>
          <t>Baut sich automatisch aus der Auslegung auf (Array-Formeln, Excel &amp; LibreOffice).</t>
        </is>
      </c>
      <c r="B56" s="2" t="n"/>
      <c r="C56" s="2" t="n"/>
      <c r="D56" s="2" t="n"/>
      <c r="E56" s="2" t="n"/>
      <c r="F56" s="2" t="n"/>
      <c r="G56" s="2" t="n"/>
      <c r="H56" s="2" t="n"/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/>
  <mergeCells count="1">
    <mergeCell ref="F2:G2"/>
  </mergeCells>
  <pageMargins left="0.4" right="0.4" top="0.5" bottom="0.5" header="0.5" footer="0.5"/>
  <pageSetup orientation="landscape" paperSize="9" fitToHeight="0" fitToWidth="1"/>
  <headerFooter>
    <oddHeader/>
    <oddFooter>&amp;LFBH überschlägige Auslegung&amp;CSeite &amp;P von &amp;N&amp;RStand &amp;D</oddFooter>
    <evenHeader/>
    <evenFooter/>
    <firstHeader/>
    <firstFooter/>
  </headerFooter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L28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7" customWidth="1" min="2" max="2"/>
    <col width="7" customWidth="1" min="3" max="3"/>
    <col width="11" customWidth="1" min="4" max="4"/>
    <col width="11" customWidth="1" min="5" max="5"/>
    <col width="13" customWidth="1" min="6" max="6"/>
    <col width="13" customWidth="1" min="7" max="7"/>
    <col width="12" customWidth="1" min="8" max="8"/>
    <col width="10" customWidth="1" min="9" max="9"/>
    <col width="9" customWidth="1" min="10" max="10"/>
    <col width="10" customWidth="1" min="11" max="11"/>
    <col width="8" customWidth="1" min="12" max="12"/>
  </cols>
  <sheetData>
    <row r="1" ht="34" customHeight="1">
      <c r="A1" s="16" t="inlineStr">
        <is>
          <t>Verifikation – EN-1264-Berechnung vs. Herstellerdaten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2">
      <c r="A2" s="77">
        <f>"Projekt-Nr.: "&amp;'Grundeinstellungen'!$C$2</f>
        <v/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</row>
    <row r="3">
      <c r="A3" s="77">
        <f>"Projekt: "&amp;'Grundeinstellungen'!$C$3</f>
        <v/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</row>
    <row r="5" ht="18" customHeight="1">
      <c r="A5" s="89" t="inlineStr">
        <is>
          <t>Berechnung nach DIN EN 1264 (Bauart A): je Auslegungspunkt wird die Wärmestromdichte q aus B, a_B, a_T, a_ü, a_D und ΔθH ermittelt und mit dem Hersteller-/Referenzwert verglichen.</t>
        </is>
      </c>
      <c r="B5" s="90" t="n"/>
      <c r="C5" s="90" t="n"/>
      <c r="D5" s="90" t="n"/>
      <c r="E5" s="90" t="n"/>
      <c r="F5" s="90" t="n"/>
      <c r="G5" s="90" t="n"/>
      <c r="H5" s="90" t="n"/>
      <c r="I5" s="90" t="n"/>
      <c r="J5" s="90" t="n"/>
      <c r="K5" s="90" t="n"/>
      <c r="L5" s="90" t="n"/>
    </row>
    <row r="6">
      <c r="A6" s="28" t="inlineStr">
        <is>
          <t>Verglichen wird die spezifische Heizleistung NACH OBEN (Wärmestrom zur Raumseite). Die Wärmeabgabe nach unten ist hier bewusst NICHT enthalten – wie in den Hersteller-/EN-1264-Kennwerten.</t>
        </is>
      </c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</row>
    <row r="8" ht="48" customHeight="1">
      <c r="A8" s="91" t="inlineStr">
        <is>
          <t>Verlege-
abstand [mm]</t>
        </is>
      </c>
      <c r="B8" s="91" t="inlineStr">
        <is>
          <t>θV
[°C]</t>
        </is>
      </c>
      <c r="C8" s="91" t="inlineStr">
        <is>
          <t>θR
[°C]</t>
        </is>
      </c>
      <c r="D8" s="91" t="inlineStr">
        <is>
          <t>θi
[°C]</t>
        </is>
      </c>
      <c r="E8" s="91" t="inlineStr">
        <is>
          <t>R-Wert
[m²K/W]</t>
        </is>
      </c>
      <c r="F8" s="91" t="inlineStr">
        <is>
          <t>Hersteller q
nach oben
[W/m²]</t>
        </is>
      </c>
      <c r="G8" s="92" t="inlineStr">
        <is>
          <t>q berechnet
EN 1264
[W/m²]</t>
        </is>
      </c>
      <c r="H8" s="92" t="inlineStr">
        <is>
          <t>Abweichung
[W/m²]</t>
        </is>
      </c>
      <c r="I8" s="92" t="inlineStr">
        <is>
          <t>Abweichung
[%]</t>
        </is>
      </c>
      <c r="J8" s="92" t="inlineStr">
        <is>
          <t>ΔθH
[K]</t>
        </is>
      </c>
      <c r="K8" s="92" t="inlineStr">
        <is>
          <t>a_B
[-]</t>
        </is>
      </c>
      <c r="L8" s="92" t="inlineStr">
        <is>
          <t>a_T
[-]</t>
        </is>
      </c>
    </row>
    <row r="9">
      <c r="A9" s="57" t="n">
        <v>300</v>
      </c>
      <c r="B9" s="53" t="n">
        <v>38</v>
      </c>
      <c r="C9" s="53" t="n">
        <v>30</v>
      </c>
      <c r="D9" s="53" t="n">
        <v>21</v>
      </c>
      <c r="E9" s="56" t="n">
        <v>0.125</v>
      </c>
      <c r="F9" s="93" t="n">
        <v>30</v>
      </c>
      <c r="G9" s="63">
        <f>IF(OR($A9="",$J9="",$K9="",$L9=""),"",'Konstanten'!$C$13*$K9*$L9^(1-($A9/1000)/0.075)*'Konstanten'!$C$14^'Konstanten'!$C$16*'Konstanten'!$C$15^'Konstanten'!$C$17*$J9)</f>
        <v/>
      </c>
      <c r="H9" s="63">
        <f>IF(OR($A9="",$F9=""),"",$F9-$G9)</f>
        <v/>
      </c>
      <c r="I9" s="67">
        <f>IF(OR($A9="",$F9=""),"",IFERROR(($F9-$G9)/$G9,""))</f>
        <v/>
      </c>
      <c r="J9" s="61">
        <f>IF($A9="","",IFERROR(($B9-$C9)/LN(($B9-$D9)/($C9-$D9)),""))</f>
        <v/>
      </c>
      <c r="K9" s="74">
        <f>IF($A9="","",IFERROR(IFERROR(INDEX('Konstanten'!$B$6:$B$10,MATCH($E9,'Konstanten'!$A$6:$A$10,1))+($E9-INDEX('Konstanten'!$A$6:$A$10,MATCH($E9,'Konstanten'!$A$6:$A$10,1)))/(INDEX('Konstanten'!$A$6:$A$10,MATCH($E9,'Konstanten'!$A$6:$A$10,1)+1)-INDEX('Konstanten'!$A$6:$A$10,MATCH($E9,'Konstanten'!$A$6:$A$10,1)))*(INDEX('Konstanten'!$B$6:$B$10,MATCH($E9,'Konstanten'!$A$6:$A$10,1)+1)-INDEX('Konstanten'!$B$6:$B$10,MATCH($E9,'Konstanten'!$A$6:$A$10,1))),INDEX('Konstanten'!$B$6:$B$10,MATCH($E9,'Konstanten'!$A$6:$A$10,1))),""))</f>
        <v/>
      </c>
      <c r="L9" s="74">
        <f>IF($A9="","",IFERROR(IFERROR(INDEX('Konstanten'!$C$6:$C$10,MATCH($E9,'Konstanten'!$A$6:$A$10,1))+($E9-INDEX('Konstanten'!$A$6:$A$10,MATCH($E9,'Konstanten'!$A$6:$A$10,1)))/(INDEX('Konstanten'!$A$6:$A$10,MATCH($E9,'Konstanten'!$A$6:$A$10,1)+1)-INDEX('Konstanten'!$A$6:$A$10,MATCH($E9,'Konstanten'!$A$6:$A$10,1)))*(INDEX('Konstanten'!$C$6:$C$10,MATCH($E9,'Konstanten'!$A$6:$A$10,1)+1)-INDEX('Konstanten'!$C$6:$C$10,MATCH($E9,'Konstanten'!$A$6:$A$10,1))),INDEX('Konstanten'!$C$6:$C$10,MATCH($E9,'Konstanten'!$A$6:$A$10,1))),""))</f>
        <v/>
      </c>
    </row>
    <row r="10">
      <c r="A10" s="57" t="n">
        <v>250</v>
      </c>
      <c r="B10" s="53" t="n">
        <v>38</v>
      </c>
      <c r="C10" s="53" t="n">
        <v>30</v>
      </c>
      <c r="D10" s="53" t="n">
        <v>21</v>
      </c>
      <c r="E10" s="56" t="n">
        <v>0.125</v>
      </c>
      <c r="F10" s="93" t="n">
        <v>33</v>
      </c>
      <c r="G10" s="63">
        <f>IF(OR($A10="",$J10="",$K10="",$L10=""),"",'Konstanten'!$C$13*$K10*$L10^(1-($A10/1000)/0.075)*'Konstanten'!$C$14^'Konstanten'!$C$16*'Konstanten'!$C$15^'Konstanten'!$C$17*$J10)</f>
        <v/>
      </c>
      <c r="H10" s="63">
        <f>IF(OR($A10="",$F10=""),"",$F10-$G10)</f>
        <v/>
      </c>
      <c r="I10" s="67">
        <f>IF(OR($A10="",$F10=""),"",IFERROR(($F10-$G10)/$G10,""))</f>
        <v/>
      </c>
      <c r="J10" s="61">
        <f>IF($A10="","",IFERROR(($B10-$C10)/LN(($B10-$D10)/($C10-$D10)),""))</f>
        <v/>
      </c>
      <c r="K10" s="74">
        <f>IF($A10="","",IFERROR(IFERROR(INDEX('Konstanten'!$B$6:$B$10,MATCH($E10,'Konstanten'!$A$6:$A$10,1))+($E10-INDEX('Konstanten'!$A$6:$A$10,MATCH($E10,'Konstanten'!$A$6:$A$10,1)))/(INDEX('Konstanten'!$A$6:$A$10,MATCH($E10,'Konstanten'!$A$6:$A$10,1)+1)-INDEX('Konstanten'!$A$6:$A$10,MATCH($E10,'Konstanten'!$A$6:$A$10,1)))*(INDEX('Konstanten'!$B$6:$B$10,MATCH($E10,'Konstanten'!$A$6:$A$10,1)+1)-INDEX('Konstanten'!$B$6:$B$10,MATCH($E10,'Konstanten'!$A$6:$A$10,1))),INDEX('Konstanten'!$B$6:$B$10,MATCH($E10,'Konstanten'!$A$6:$A$10,1))),""))</f>
        <v/>
      </c>
      <c r="L10" s="74">
        <f>IF($A10="","",IFERROR(IFERROR(INDEX('Konstanten'!$C$6:$C$10,MATCH($E10,'Konstanten'!$A$6:$A$10,1))+($E10-INDEX('Konstanten'!$A$6:$A$10,MATCH($E10,'Konstanten'!$A$6:$A$10,1)))/(INDEX('Konstanten'!$A$6:$A$10,MATCH($E10,'Konstanten'!$A$6:$A$10,1)+1)-INDEX('Konstanten'!$A$6:$A$10,MATCH($E10,'Konstanten'!$A$6:$A$10,1)))*(INDEX('Konstanten'!$C$6:$C$10,MATCH($E10,'Konstanten'!$A$6:$A$10,1)+1)-INDEX('Konstanten'!$C$6:$C$10,MATCH($E10,'Konstanten'!$A$6:$A$10,1))),INDEX('Konstanten'!$C$6:$C$10,MATCH($E10,'Konstanten'!$A$6:$A$10,1))),""))</f>
        <v/>
      </c>
    </row>
    <row r="11">
      <c r="A11" s="57" t="n">
        <v>200</v>
      </c>
      <c r="B11" s="53" t="n">
        <v>38</v>
      </c>
      <c r="C11" s="53" t="n">
        <v>30</v>
      </c>
      <c r="D11" s="53" t="n">
        <v>21</v>
      </c>
      <c r="E11" s="56" t="n">
        <v>0.125</v>
      </c>
      <c r="F11" s="93" t="n">
        <v>36</v>
      </c>
      <c r="G11" s="63">
        <f>IF(OR($A11="",$J11="",$K11="",$L11=""),"",'Konstanten'!$C$13*$K11*$L11^(1-($A11/1000)/0.075)*'Konstanten'!$C$14^'Konstanten'!$C$16*'Konstanten'!$C$15^'Konstanten'!$C$17*$J11)</f>
        <v/>
      </c>
      <c r="H11" s="63">
        <f>IF(OR($A11="",$F11=""),"",$F11-$G11)</f>
        <v/>
      </c>
      <c r="I11" s="67">
        <f>IF(OR($A11="",$F11=""),"",IFERROR(($F11-$G11)/$G11,""))</f>
        <v/>
      </c>
      <c r="J11" s="61">
        <f>IF($A11="","",IFERROR(($B11-$C11)/LN(($B11-$D11)/($C11-$D11)),""))</f>
        <v/>
      </c>
      <c r="K11" s="74">
        <f>IF($A11="","",IFERROR(IFERROR(INDEX('Konstanten'!$B$6:$B$10,MATCH($E11,'Konstanten'!$A$6:$A$10,1))+($E11-INDEX('Konstanten'!$A$6:$A$10,MATCH($E11,'Konstanten'!$A$6:$A$10,1)))/(INDEX('Konstanten'!$A$6:$A$10,MATCH($E11,'Konstanten'!$A$6:$A$10,1)+1)-INDEX('Konstanten'!$A$6:$A$10,MATCH($E11,'Konstanten'!$A$6:$A$10,1)))*(INDEX('Konstanten'!$B$6:$B$10,MATCH($E11,'Konstanten'!$A$6:$A$10,1)+1)-INDEX('Konstanten'!$B$6:$B$10,MATCH($E11,'Konstanten'!$A$6:$A$10,1))),INDEX('Konstanten'!$B$6:$B$10,MATCH($E11,'Konstanten'!$A$6:$A$10,1))),""))</f>
        <v/>
      </c>
      <c r="L11" s="74">
        <f>IF($A11="","",IFERROR(IFERROR(INDEX('Konstanten'!$C$6:$C$10,MATCH($E11,'Konstanten'!$A$6:$A$10,1))+($E11-INDEX('Konstanten'!$A$6:$A$10,MATCH($E11,'Konstanten'!$A$6:$A$10,1)))/(INDEX('Konstanten'!$A$6:$A$10,MATCH($E11,'Konstanten'!$A$6:$A$10,1)+1)-INDEX('Konstanten'!$A$6:$A$10,MATCH($E11,'Konstanten'!$A$6:$A$10,1)))*(INDEX('Konstanten'!$C$6:$C$10,MATCH($E11,'Konstanten'!$A$6:$A$10,1)+1)-INDEX('Konstanten'!$C$6:$C$10,MATCH($E11,'Konstanten'!$A$6:$A$10,1))),INDEX('Konstanten'!$C$6:$C$10,MATCH($E11,'Konstanten'!$A$6:$A$10,1))),""))</f>
        <v/>
      </c>
    </row>
    <row r="12">
      <c r="A12" s="57" t="n">
        <v>150</v>
      </c>
      <c r="B12" s="53" t="n">
        <v>38</v>
      </c>
      <c r="C12" s="53" t="n">
        <v>30</v>
      </c>
      <c r="D12" s="53" t="n">
        <v>21</v>
      </c>
      <c r="E12" s="56" t="n">
        <v>0.125</v>
      </c>
      <c r="F12" s="93" t="n">
        <v>40</v>
      </c>
      <c r="G12" s="63">
        <f>IF(OR($A12="",$J12="",$K12="",$L12=""),"",'Konstanten'!$C$13*$K12*$L12^(1-($A12/1000)/0.075)*'Konstanten'!$C$14^'Konstanten'!$C$16*'Konstanten'!$C$15^'Konstanten'!$C$17*$J12)</f>
        <v/>
      </c>
      <c r="H12" s="63">
        <f>IF(OR($A12="",$F12=""),"",$F12-$G12)</f>
        <v/>
      </c>
      <c r="I12" s="67">
        <f>IF(OR($A12="",$F12=""),"",IFERROR(($F12-$G12)/$G12,""))</f>
        <v/>
      </c>
      <c r="J12" s="61">
        <f>IF($A12="","",IFERROR(($B12-$C12)/LN(($B12-$D12)/($C12-$D12)),""))</f>
        <v/>
      </c>
      <c r="K12" s="74">
        <f>IF($A12="","",IFERROR(IFERROR(INDEX('Konstanten'!$B$6:$B$10,MATCH($E12,'Konstanten'!$A$6:$A$10,1))+($E12-INDEX('Konstanten'!$A$6:$A$10,MATCH($E12,'Konstanten'!$A$6:$A$10,1)))/(INDEX('Konstanten'!$A$6:$A$10,MATCH($E12,'Konstanten'!$A$6:$A$10,1)+1)-INDEX('Konstanten'!$A$6:$A$10,MATCH($E12,'Konstanten'!$A$6:$A$10,1)))*(INDEX('Konstanten'!$B$6:$B$10,MATCH($E12,'Konstanten'!$A$6:$A$10,1)+1)-INDEX('Konstanten'!$B$6:$B$10,MATCH($E12,'Konstanten'!$A$6:$A$10,1))),INDEX('Konstanten'!$B$6:$B$10,MATCH($E12,'Konstanten'!$A$6:$A$10,1))),""))</f>
        <v/>
      </c>
      <c r="L12" s="74">
        <f>IF($A12="","",IFERROR(IFERROR(INDEX('Konstanten'!$C$6:$C$10,MATCH($E12,'Konstanten'!$A$6:$A$10,1))+($E12-INDEX('Konstanten'!$A$6:$A$10,MATCH($E12,'Konstanten'!$A$6:$A$10,1)))/(INDEX('Konstanten'!$A$6:$A$10,MATCH($E12,'Konstanten'!$A$6:$A$10,1)+1)-INDEX('Konstanten'!$A$6:$A$10,MATCH($E12,'Konstanten'!$A$6:$A$10,1)))*(INDEX('Konstanten'!$C$6:$C$10,MATCH($E12,'Konstanten'!$A$6:$A$10,1)+1)-INDEX('Konstanten'!$C$6:$C$10,MATCH($E12,'Konstanten'!$A$6:$A$10,1))),INDEX('Konstanten'!$C$6:$C$10,MATCH($E12,'Konstanten'!$A$6:$A$10,1))),""))</f>
        <v/>
      </c>
    </row>
    <row r="13">
      <c r="A13" s="57" t="n">
        <v>100</v>
      </c>
      <c r="B13" s="53" t="n">
        <v>38</v>
      </c>
      <c r="C13" s="53" t="n">
        <v>30</v>
      </c>
      <c r="D13" s="53" t="n">
        <v>21</v>
      </c>
      <c r="E13" s="56" t="n">
        <v>0.125</v>
      </c>
      <c r="F13" s="93" t="n">
        <v>44</v>
      </c>
      <c r="G13" s="63">
        <f>IF(OR($A13="",$J13="",$K13="",$L13=""),"",'Konstanten'!$C$13*$K13*$L13^(1-($A13/1000)/0.075)*'Konstanten'!$C$14^'Konstanten'!$C$16*'Konstanten'!$C$15^'Konstanten'!$C$17*$J13)</f>
        <v/>
      </c>
      <c r="H13" s="63">
        <f>IF(OR($A13="",$F13=""),"",$F13-$G13)</f>
        <v/>
      </c>
      <c r="I13" s="67">
        <f>IF(OR($A13="",$F13=""),"",IFERROR(($F13-$G13)/$G13,""))</f>
        <v/>
      </c>
      <c r="J13" s="61">
        <f>IF($A13="","",IFERROR(($B13-$C13)/LN(($B13-$D13)/($C13-$D13)),""))</f>
        <v/>
      </c>
      <c r="K13" s="74">
        <f>IF($A13="","",IFERROR(IFERROR(INDEX('Konstanten'!$B$6:$B$10,MATCH($E13,'Konstanten'!$A$6:$A$10,1))+($E13-INDEX('Konstanten'!$A$6:$A$10,MATCH($E13,'Konstanten'!$A$6:$A$10,1)))/(INDEX('Konstanten'!$A$6:$A$10,MATCH($E13,'Konstanten'!$A$6:$A$10,1)+1)-INDEX('Konstanten'!$A$6:$A$10,MATCH($E13,'Konstanten'!$A$6:$A$10,1)))*(INDEX('Konstanten'!$B$6:$B$10,MATCH($E13,'Konstanten'!$A$6:$A$10,1)+1)-INDEX('Konstanten'!$B$6:$B$10,MATCH($E13,'Konstanten'!$A$6:$A$10,1))),INDEX('Konstanten'!$B$6:$B$10,MATCH($E13,'Konstanten'!$A$6:$A$10,1))),""))</f>
        <v/>
      </c>
      <c r="L13" s="74">
        <f>IF($A13="","",IFERROR(IFERROR(INDEX('Konstanten'!$C$6:$C$10,MATCH($E13,'Konstanten'!$A$6:$A$10,1))+($E13-INDEX('Konstanten'!$A$6:$A$10,MATCH($E13,'Konstanten'!$A$6:$A$10,1)))/(INDEX('Konstanten'!$A$6:$A$10,MATCH($E13,'Konstanten'!$A$6:$A$10,1)+1)-INDEX('Konstanten'!$A$6:$A$10,MATCH($E13,'Konstanten'!$A$6:$A$10,1)))*(INDEX('Konstanten'!$C$6:$C$10,MATCH($E13,'Konstanten'!$A$6:$A$10,1)+1)-INDEX('Konstanten'!$C$6:$C$10,MATCH($E13,'Konstanten'!$A$6:$A$10,1))),INDEX('Konstanten'!$C$6:$C$10,MATCH($E13,'Konstanten'!$A$6:$A$10,1))),""))</f>
        <v/>
      </c>
    </row>
    <row r="14">
      <c r="A14" s="57" t="n">
        <v>50</v>
      </c>
      <c r="B14" s="53" t="n">
        <v>38</v>
      </c>
      <c r="C14" s="53" t="n">
        <v>30</v>
      </c>
      <c r="D14" s="53" t="n">
        <v>21</v>
      </c>
      <c r="E14" s="56" t="n">
        <v>0.125</v>
      </c>
      <c r="F14" s="93" t="n">
        <v>49</v>
      </c>
      <c r="G14" s="63">
        <f>IF(OR($A14="",$J14="",$K14="",$L14=""),"",'Konstanten'!$C$13*$K14*$L14^(1-($A14/1000)/0.075)*'Konstanten'!$C$14^'Konstanten'!$C$16*'Konstanten'!$C$15^'Konstanten'!$C$17*$J14)</f>
        <v/>
      </c>
      <c r="H14" s="63">
        <f>IF(OR($A14="",$F14=""),"",$F14-$G14)</f>
        <v/>
      </c>
      <c r="I14" s="67">
        <f>IF(OR($A14="",$F14=""),"",IFERROR(($F14-$G14)/$G14,""))</f>
        <v/>
      </c>
      <c r="J14" s="61">
        <f>IF($A14="","",IFERROR(($B14-$C14)/LN(($B14-$D14)/($C14-$D14)),""))</f>
        <v/>
      </c>
      <c r="K14" s="74">
        <f>IF($A14="","",IFERROR(IFERROR(INDEX('Konstanten'!$B$6:$B$10,MATCH($E14,'Konstanten'!$A$6:$A$10,1))+($E14-INDEX('Konstanten'!$A$6:$A$10,MATCH($E14,'Konstanten'!$A$6:$A$10,1)))/(INDEX('Konstanten'!$A$6:$A$10,MATCH($E14,'Konstanten'!$A$6:$A$10,1)+1)-INDEX('Konstanten'!$A$6:$A$10,MATCH($E14,'Konstanten'!$A$6:$A$10,1)))*(INDEX('Konstanten'!$B$6:$B$10,MATCH($E14,'Konstanten'!$A$6:$A$10,1)+1)-INDEX('Konstanten'!$B$6:$B$10,MATCH($E14,'Konstanten'!$A$6:$A$10,1))),INDEX('Konstanten'!$B$6:$B$10,MATCH($E14,'Konstanten'!$A$6:$A$10,1))),""))</f>
        <v/>
      </c>
      <c r="L14" s="74">
        <f>IF($A14="","",IFERROR(IFERROR(INDEX('Konstanten'!$C$6:$C$10,MATCH($E14,'Konstanten'!$A$6:$A$10,1))+($E14-INDEX('Konstanten'!$A$6:$A$10,MATCH($E14,'Konstanten'!$A$6:$A$10,1)))/(INDEX('Konstanten'!$A$6:$A$10,MATCH($E14,'Konstanten'!$A$6:$A$10,1)+1)-INDEX('Konstanten'!$A$6:$A$10,MATCH($E14,'Konstanten'!$A$6:$A$10,1)))*(INDEX('Konstanten'!$C$6:$C$10,MATCH($E14,'Konstanten'!$A$6:$A$10,1)+1)-INDEX('Konstanten'!$C$6:$C$10,MATCH($E14,'Konstanten'!$A$6:$A$10,1))),INDEX('Konstanten'!$C$6:$C$10,MATCH($E14,'Konstanten'!$A$6:$A$10,1))),""))</f>
        <v/>
      </c>
    </row>
    <row r="15">
      <c r="A15" s="57" t="n">
        <v>300</v>
      </c>
      <c r="B15" s="53" t="n">
        <v>45</v>
      </c>
      <c r="C15" s="53" t="n">
        <v>35</v>
      </c>
      <c r="D15" s="53" t="n">
        <v>15</v>
      </c>
      <c r="E15" s="56" t="n">
        <v>0.05</v>
      </c>
      <c r="F15" s="93" t="n">
        <v>74</v>
      </c>
      <c r="G15" s="63">
        <f>IF(OR($A15="",$J15="",$K15="",$L15=""),"",'Konstanten'!$C$13*$K15*$L15^(1-($A15/1000)/0.075)*'Konstanten'!$C$14^'Konstanten'!$C$16*'Konstanten'!$C$15^'Konstanten'!$C$17*$J15)</f>
        <v/>
      </c>
      <c r="H15" s="63">
        <f>IF(OR($A15="",$F15=""),"",$F15-$G15)</f>
        <v/>
      </c>
      <c r="I15" s="67">
        <f>IF(OR($A15="",$F15=""),"",IFERROR(($F15-$G15)/$G15,""))</f>
        <v/>
      </c>
      <c r="J15" s="61">
        <f>IF($A15="","",IFERROR(($B15-$C15)/LN(($B15-$D15)/($C15-$D15)),""))</f>
        <v/>
      </c>
      <c r="K15" s="74">
        <f>IF($A15="","",IFERROR(IFERROR(INDEX('Konstanten'!$B$6:$B$10,MATCH($E15,'Konstanten'!$A$6:$A$10,1))+($E15-INDEX('Konstanten'!$A$6:$A$10,MATCH($E15,'Konstanten'!$A$6:$A$10,1)))/(INDEX('Konstanten'!$A$6:$A$10,MATCH($E15,'Konstanten'!$A$6:$A$10,1)+1)-INDEX('Konstanten'!$A$6:$A$10,MATCH($E15,'Konstanten'!$A$6:$A$10,1)))*(INDEX('Konstanten'!$B$6:$B$10,MATCH($E15,'Konstanten'!$A$6:$A$10,1)+1)-INDEX('Konstanten'!$B$6:$B$10,MATCH($E15,'Konstanten'!$A$6:$A$10,1))),INDEX('Konstanten'!$B$6:$B$10,MATCH($E15,'Konstanten'!$A$6:$A$10,1))),""))</f>
        <v/>
      </c>
      <c r="L15" s="74">
        <f>IF($A15="","",IFERROR(IFERROR(INDEX('Konstanten'!$C$6:$C$10,MATCH($E15,'Konstanten'!$A$6:$A$10,1))+($E15-INDEX('Konstanten'!$A$6:$A$10,MATCH($E15,'Konstanten'!$A$6:$A$10,1)))/(INDEX('Konstanten'!$A$6:$A$10,MATCH($E15,'Konstanten'!$A$6:$A$10,1)+1)-INDEX('Konstanten'!$A$6:$A$10,MATCH($E15,'Konstanten'!$A$6:$A$10,1)))*(INDEX('Konstanten'!$C$6:$C$10,MATCH($E15,'Konstanten'!$A$6:$A$10,1)+1)-INDEX('Konstanten'!$C$6:$C$10,MATCH($E15,'Konstanten'!$A$6:$A$10,1))),INDEX('Konstanten'!$C$6:$C$10,MATCH($E15,'Konstanten'!$A$6:$A$10,1))),""))</f>
        <v/>
      </c>
    </row>
    <row r="16">
      <c r="A16" s="57" t="n">
        <v>250</v>
      </c>
      <c r="B16" s="53" t="n">
        <v>45</v>
      </c>
      <c r="C16" s="53" t="n">
        <v>35</v>
      </c>
      <c r="D16" s="53" t="n">
        <v>15</v>
      </c>
      <c r="E16" s="56" t="n">
        <v>0.05</v>
      </c>
      <c r="F16" s="93" t="n">
        <v>83</v>
      </c>
      <c r="G16" s="63">
        <f>IF(OR($A16="",$J16="",$K16="",$L16=""),"",'Konstanten'!$C$13*$K16*$L16^(1-($A16/1000)/0.075)*'Konstanten'!$C$14^'Konstanten'!$C$16*'Konstanten'!$C$15^'Konstanten'!$C$17*$J16)</f>
        <v/>
      </c>
      <c r="H16" s="63">
        <f>IF(OR($A16="",$F16=""),"",$F16-$G16)</f>
        <v/>
      </c>
      <c r="I16" s="67">
        <f>IF(OR($A16="",$F16=""),"",IFERROR(($F16-$G16)/$G16,""))</f>
        <v/>
      </c>
      <c r="J16" s="61">
        <f>IF($A16="","",IFERROR(($B16-$C16)/LN(($B16-$D16)/($C16-$D16)),""))</f>
        <v/>
      </c>
      <c r="K16" s="74">
        <f>IF($A16="","",IFERROR(IFERROR(INDEX('Konstanten'!$B$6:$B$10,MATCH($E16,'Konstanten'!$A$6:$A$10,1))+($E16-INDEX('Konstanten'!$A$6:$A$10,MATCH($E16,'Konstanten'!$A$6:$A$10,1)))/(INDEX('Konstanten'!$A$6:$A$10,MATCH($E16,'Konstanten'!$A$6:$A$10,1)+1)-INDEX('Konstanten'!$A$6:$A$10,MATCH($E16,'Konstanten'!$A$6:$A$10,1)))*(INDEX('Konstanten'!$B$6:$B$10,MATCH($E16,'Konstanten'!$A$6:$A$10,1)+1)-INDEX('Konstanten'!$B$6:$B$10,MATCH($E16,'Konstanten'!$A$6:$A$10,1))),INDEX('Konstanten'!$B$6:$B$10,MATCH($E16,'Konstanten'!$A$6:$A$10,1))),""))</f>
        <v/>
      </c>
      <c r="L16" s="74">
        <f>IF($A16="","",IFERROR(IFERROR(INDEX('Konstanten'!$C$6:$C$10,MATCH($E16,'Konstanten'!$A$6:$A$10,1))+($E16-INDEX('Konstanten'!$A$6:$A$10,MATCH($E16,'Konstanten'!$A$6:$A$10,1)))/(INDEX('Konstanten'!$A$6:$A$10,MATCH($E16,'Konstanten'!$A$6:$A$10,1)+1)-INDEX('Konstanten'!$A$6:$A$10,MATCH($E16,'Konstanten'!$A$6:$A$10,1)))*(INDEX('Konstanten'!$C$6:$C$10,MATCH($E16,'Konstanten'!$A$6:$A$10,1)+1)-INDEX('Konstanten'!$C$6:$C$10,MATCH($E16,'Konstanten'!$A$6:$A$10,1))),INDEX('Konstanten'!$C$6:$C$10,MATCH($E16,'Konstanten'!$A$6:$A$10,1))),""))</f>
        <v/>
      </c>
    </row>
    <row r="17">
      <c r="A17" s="57" t="n">
        <v>200</v>
      </c>
      <c r="B17" s="53" t="n">
        <v>45</v>
      </c>
      <c r="C17" s="53" t="n">
        <v>35</v>
      </c>
      <c r="D17" s="53" t="n">
        <v>15</v>
      </c>
      <c r="E17" s="56" t="n">
        <v>0.05</v>
      </c>
      <c r="F17" s="93" t="n">
        <v>94</v>
      </c>
      <c r="G17" s="63">
        <f>IF(OR($A17="",$J17="",$K17="",$L17=""),"",'Konstanten'!$C$13*$K17*$L17^(1-($A17/1000)/0.075)*'Konstanten'!$C$14^'Konstanten'!$C$16*'Konstanten'!$C$15^'Konstanten'!$C$17*$J17)</f>
        <v/>
      </c>
      <c r="H17" s="63">
        <f>IF(OR($A17="",$F17=""),"",$F17-$G17)</f>
        <v/>
      </c>
      <c r="I17" s="67">
        <f>IF(OR($A17="",$F17=""),"",IFERROR(($F17-$G17)/$G17,""))</f>
        <v/>
      </c>
      <c r="J17" s="61">
        <f>IF($A17="","",IFERROR(($B17-$C17)/LN(($B17-$D17)/($C17-$D17)),""))</f>
        <v/>
      </c>
      <c r="K17" s="74">
        <f>IF($A17="","",IFERROR(IFERROR(INDEX('Konstanten'!$B$6:$B$10,MATCH($E17,'Konstanten'!$A$6:$A$10,1))+($E17-INDEX('Konstanten'!$A$6:$A$10,MATCH($E17,'Konstanten'!$A$6:$A$10,1)))/(INDEX('Konstanten'!$A$6:$A$10,MATCH($E17,'Konstanten'!$A$6:$A$10,1)+1)-INDEX('Konstanten'!$A$6:$A$10,MATCH($E17,'Konstanten'!$A$6:$A$10,1)))*(INDEX('Konstanten'!$B$6:$B$10,MATCH($E17,'Konstanten'!$A$6:$A$10,1)+1)-INDEX('Konstanten'!$B$6:$B$10,MATCH($E17,'Konstanten'!$A$6:$A$10,1))),INDEX('Konstanten'!$B$6:$B$10,MATCH($E17,'Konstanten'!$A$6:$A$10,1))),""))</f>
        <v/>
      </c>
      <c r="L17" s="74">
        <f>IF($A17="","",IFERROR(IFERROR(INDEX('Konstanten'!$C$6:$C$10,MATCH($E17,'Konstanten'!$A$6:$A$10,1))+($E17-INDEX('Konstanten'!$A$6:$A$10,MATCH($E17,'Konstanten'!$A$6:$A$10,1)))/(INDEX('Konstanten'!$A$6:$A$10,MATCH($E17,'Konstanten'!$A$6:$A$10,1)+1)-INDEX('Konstanten'!$A$6:$A$10,MATCH($E17,'Konstanten'!$A$6:$A$10,1)))*(INDEX('Konstanten'!$C$6:$C$10,MATCH($E17,'Konstanten'!$A$6:$A$10,1)+1)-INDEX('Konstanten'!$C$6:$C$10,MATCH($E17,'Konstanten'!$A$6:$A$10,1))),INDEX('Konstanten'!$C$6:$C$10,MATCH($E17,'Konstanten'!$A$6:$A$10,1))),""))</f>
        <v/>
      </c>
    </row>
    <row r="18">
      <c r="A18" s="57" t="n">
        <v>150</v>
      </c>
      <c r="B18" s="53" t="n">
        <v>45</v>
      </c>
      <c r="C18" s="53" t="n">
        <v>35</v>
      </c>
      <c r="D18" s="53" t="n">
        <v>15</v>
      </c>
      <c r="E18" s="56" t="n">
        <v>0.05</v>
      </c>
      <c r="F18" s="93" t="n">
        <v>105</v>
      </c>
      <c r="G18" s="63">
        <f>IF(OR($A18="",$J18="",$K18="",$L18=""),"",'Konstanten'!$C$13*$K18*$L18^(1-($A18/1000)/0.075)*'Konstanten'!$C$14^'Konstanten'!$C$16*'Konstanten'!$C$15^'Konstanten'!$C$17*$J18)</f>
        <v/>
      </c>
      <c r="H18" s="63">
        <f>IF(OR($A18="",$F18=""),"",$F18-$G18)</f>
        <v/>
      </c>
      <c r="I18" s="67">
        <f>IF(OR($A18="",$F18=""),"",IFERROR(($F18-$G18)/$G18,""))</f>
        <v/>
      </c>
      <c r="J18" s="61">
        <f>IF($A18="","",IFERROR(($B18-$C18)/LN(($B18-$D18)/($C18-$D18)),""))</f>
        <v/>
      </c>
      <c r="K18" s="74">
        <f>IF($A18="","",IFERROR(IFERROR(INDEX('Konstanten'!$B$6:$B$10,MATCH($E18,'Konstanten'!$A$6:$A$10,1))+($E18-INDEX('Konstanten'!$A$6:$A$10,MATCH($E18,'Konstanten'!$A$6:$A$10,1)))/(INDEX('Konstanten'!$A$6:$A$10,MATCH($E18,'Konstanten'!$A$6:$A$10,1)+1)-INDEX('Konstanten'!$A$6:$A$10,MATCH($E18,'Konstanten'!$A$6:$A$10,1)))*(INDEX('Konstanten'!$B$6:$B$10,MATCH($E18,'Konstanten'!$A$6:$A$10,1)+1)-INDEX('Konstanten'!$B$6:$B$10,MATCH($E18,'Konstanten'!$A$6:$A$10,1))),INDEX('Konstanten'!$B$6:$B$10,MATCH($E18,'Konstanten'!$A$6:$A$10,1))),""))</f>
        <v/>
      </c>
      <c r="L18" s="74">
        <f>IF($A18="","",IFERROR(IFERROR(INDEX('Konstanten'!$C$6:$C$10,MATCH($E18,'Konstanten'!$A$6:$A$10,1))+($E18-INDEX('Konstanten'!$A$6:$A$10,MATCH($E18,'Konstanten'!$A$6:$A$10,1)))/(INDEX('Konstanten'!$A$6:$A$10,MATCH($E18,'Konstanten'!$A$6:$A$10,1)+1)-INDEX('Konstanten'!$A$6:$A$10,MATCH($E18,'Konstanten'!$A$6:$A$10,1)))*(INDEX('Konstanten'!$C$6:$C$10,MATCH($E18,'Konstanten'!$A$6:$A$10,1)+1)-INDEX('Konstanten'!$C$6:$C$10,MATCH($E18,'Konstanten'!$A$6:$A$10,1))),INDEX('Konstanten'!$C$6:$C$10,MATCH($E18,'Konstanten'!$A$6:$A$10,1))),""))</f>
        <v/>
      </c>
    </row>
    <row r="19">
      <c r="A19" s="57" t="n">
        <v>100</v>
      </c>
      <c r="B19" s="53" t="n">
        <v>45</v>
      </c>
      <c r="C19" s="53" t="n">
        <v>35</v>
      </c>
      <c r="D19" s="53" t="n">
        <v>15</v>
      </c>
      <c r="E19" s="56" t="n">
        <v>0.05</v>
      </c>
      <c r="F19" s="93" t="n">
        <v>119</v>
      </c>
      <c r="G19" s="63">
        <f>IF(OR($A19="",$J19="",$K19="",$L19=""),"",'Konstanten'!$C$13*$K19*$L19^(1-($A19/1000)/0.075)*'Konstanten'!$C$14^'Konstanten'!$C$16*'Konstanten'!$C$15^'Konstanten'!$C$17*$J19)</f>
        <v/>
      </c>
      <c r="H19" s="63">
        <f>IF(OR($A19="",$F19=""),"",$F19-$G19)</f>
        <v/>
      </c>
      <c r="I19" s="67">
        <f>IF(OR($A19="",$F19=""),"",IFERROR(($F19-$G19)/$G19,""))</f>
        <v/>
      </c>
      <c r="J19" s="61">
        <f>IF($A19="","",IFERROR(($B19-$C19)/LN(($B19-$D19)/($C19-$D19)),""))</f>
        <v/>
      </c>
      <c r="K19" s="74">
        <f>IF($A19="","",IFERROR(IFERROR(INDEX('Konstanten'!$B$6:$B$10,MATCH($E19,'Konstanten'!$A$6:$A$10,1))+($E19-INDEX('Konstanten'!$A$6:$A$10,MATCH($E19,'Konstanten'!$A$6:$A$10,1)))/(INDEX('Konstanten'!$A$6:$A$10,MATCH($E19,'Konstanten'!$A$6:$A$10,1)+1)-INDEX('Konstanten'!$A$6:$A$10,MATCH($E19,'Konstanten'!$A$6:$A$10,1)))*(INDEX('Konstanten'!$B$6:$B$10,MATCH($E19,'Konstanten'!$A$6:$A$10,1)+1)-INDEX('Konstanten'!$B$6:$B$10,MATCH($E19,'Konstanten'!$A$6:$A$10,1))),INDEX('Konstanten'!$B$6:$B$10,MATCH($E19,'Konstanten'!$A$6:$A$10,1))),""))</f>
        <v/>
      </c>
      <c r="L19" s="74">
        <f>IF($A19="","",IFERROR(IFERROR(INDEX('Konstanten'!$C$6:$C$10,MATCH($E19,'Konstanten'!$A$6:$A$10,1))+($E19-INDEX('Konstanten'!$A$6:$A$10,MATCH($E19,'Konstanten'!$A$6:$A$10,1)))/(INDEX('Konstanten'!$A$6:$A$10,MATCH($E19,'Konstanten'!$A$6:$A$10,1)+1)-INDEX('Konstanten'!$A$6:$A$10,MATCH($E19,'Konstanten'!$A$6:$A$10,1)))*(INDEX('Konstanten'!$C$6:$C$10,MATCH($E19,'Konstanten'!$A$6:$A$10,1)+1)-INDEX('Konstanten'!$C$6:$C$10,MATCH($E19,'Konstanten'!$A$6:$A$10,1))),INDEX('Konstanten'!$C$6:$C$10,MATCH($E19,'Konstanten'!$A$6:$A$10,1))),""))</f>
        <v/>
      </c>
    </row>
    <row r="20">
      <c r="A20" s="57" t="n">
        <v>50</v>
      </c>
      <c r="B20" s="53" t="n">
        <v>45</v>
      </c>
      <c r="C20" s="53" t="n">
        <v>35</v>
      </c>
      <c r="D20" s="53" t="n">
        <v>15</v>
      </c>
      <c r="E20" s="56" t="n">
        <v>0.05</v>
      </c>
      <c r="F20" s="93" t="n">
        <v>135</v>
      </c>
      <c r="G20" s="63">
        <f>IF(OR($A20="",$J20="",$K20="",$L20=""),"",'Konstanten'!$C$13*$K20*$L20^(1-($A20/1000)/0.075)*'Konstanten'!$C$14^'Konstanten'!$C$16*'Konstanten'!$C$15^'Konstanten'!$C$17*$J20)</f>
        <v/>
      </c>
      <c r="H20" s="63">
        <f>IF(OR($A20="",$F20=""),"",$F20-$G20)</f>
        <v/>
      </c>
      <c r="I20" s="67">
        <f>IF(OR($A20="",$F20=""),"",IFERROR(($F20-$G20)/$G20,""))</f>
        <v/>
      </c>
      <c r="J20" s="61">
        <f>IF($A20="","",IFERROR(($B20-$C20)/LN(($B20-$D20)/($C20-$D20)),""))</f>
        <v/>
      </c>
      <c r="K20" s="74">
        <f>IF($A20="","",IFERROR(IFERROR(INDEX('Konstanten'!$B$6:$B$10,MATCH($E20,'Konstanten'!$A$6:$A$10,1))+($E20-INDEX('Konstanten'!$A$6:$A$10,MATCH($E20,'Konstanten'!$A$6:$A$10,1)))/(INDEX('Konstanten'!$A$6:$A$10,MATCH($E20,'Konstanten'!$A$6:$A$10,1)+1)-INDEX('Konstanten'!$A$6:$A$10,MATCH($E20,'Konstanten'!$A$6:$A$10,1)))*(INDEX('Konstanten'!$B$6:$B$10,MATCH($E20,'Konstanten'!$A$6:$A$10,1)+1)-INDEX('Konstanten'!$B$6:$B$10,MATCH($E20,'Konstanten'!$A$6:$A$10,1))),INDEX('Konstanten'!$B$6:$B$10,MATCH($E20,'Konstanten'!$A$6:$A$10,1))),""))</f>
        <v/>
      </c>
      <c r="L20" s="74">
        <f>IF($A20="","",IFERROR(IFERROR(INDEX('Konstanten'!$C$6:$C$10,MATCH($E20,'Konstanten'!$A$6:$A$10,1))+($E20-INDEX('Konstanten'!$A$6:$A$10,MATCH($E20,'Konstanten'!$A$6:$A$10,1)))/(INDEX('Konstanten'!$A$6:$A$10,MATCH($E20,'Konstanten'!$A$6:$A$10,1)+1)-INDEX('Konstanten'!$A$6:$A$10,MATCH($E20,'Konstanten'!$A$6:$A$10,1)))*(INDEX('Konstanten'!$C$6:$C$10,MATCH($E20,'Konstanten'!$A$6:$A$10,1)+1)-INDEX('Konstanten'!$C$6:$C$10,MATCH($E20,'Konstanten'!$A$6:$A$10,1))),INDEX('Konstanten'!$C$6:$C$10,MATCH($E20,'Konstanten'!$A$6:$A$10,1))),""))</f>
        <v/>
      </c>
    </row>
    <row r="21" ht="18" customHeight="1">
      <c r="A21" s="94" t="inlineStr">
        <is>
          <t>Gesamtabweichung (Σ über alle Punkte):</t>
        </is>
      </c>
      <c r="B21" s="90" t="n"/>
      <c r="C21" s="90" t="n"/>
      <c r="D21" s="90" t="n"/>
      <c r="E21" s="90" t="n"/>
      <c r="F21" s="90" t="n"/>
      <c r="G21" s="90" t="n"/>
      <c r="H21" s="95">
        <f>SUM($H$9:$H$20)</f>
        <v/>
      </c>
      <c r="I21" s="96">
        <f>IFERROR(SUM($H$9:$H$20)/SUM($G$9:$G$20),"")</f>
        <v/>
      </c>
      <c r="J21" s="2" t="n"/>
      <c r="K21" s="2" t="n"/>
      <c r="L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</row>
    <row r="23">
      <c r="A23" s="97" t="inlineStr">
        <is>
          <t>Hinweise</t>
        </is>
      </c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</row>
    <row r="24">
      <c r="A24" s="25" t="inlineStr">
        <is>
          <t>• Jede Zeile vergleicht einen eigenen Auslegungspunkt (Spalten A–E) mit dem Hersteller-/Referenzwert (Spalte F).</t>
        </is>
      </c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</row>
    <row r="25">
      <c r="A25" s="25" t="inlineStr">
        <is>
          <t>• q berechnet (Spalte G): vollständiges EN-1264-Produktverfahren (Bauart A), direkt aus den Faktoren B, a_B, a_T, a_ü, a_D.</t>
        </is>
      </c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</row>
    <row r="26">
      <c r="A26" s="25" t="inlineStr">
        <is>
          <t>• Hersteller-q (Spalte F): vorbelegt mit 12 Punkten des Rehau 17×2-Systems (s_ü = 45 mm, Verlegeabstand 50–300 mm).</t>
        </is>
      </c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</row>
    <row r="27">
      <c r="A27" s="25" t="inlineStr">
        <is>
          <t>• Die Faktoren a_B, a_T je R-Wert sowie B, a_ü, a_D stehen im Blatt Konstanten und bestimmen das Ergebnis.</t>
        </is>
      </c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</row>
    <row r="28">
      <c r="A28" s="28" t="inlineStr">
        <is>
          <t>• Andere nach EN 1264 zertifizierte Systeme (Uponor, Purmo, Buderus, Kermi …) liegen nah an diesen Werten.</t>
        </is>
      </c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/>
  <mergeCells count="3">
    <mergeCell ref="A21:G21"/>
    <mergeCell ref="A6:L6"/>
    <mergeCell ref="A5:L5"/>
  </mergeCells>
  <conditionalFormatting sqref="I9:I20">
    <cfRule type="expression" priority="1" dxfId="0">
      <formula>AND($I9&lt;&gt;"",ABS($I9)&gt;0.05)</formula>
    </cfRule>
    <cfRule type="expression" priority="2" dxfId="1">
      <formula>AND($I9&lt;&gt;"",ABS($I9)&lt;=0.05)</formula>
    </cfRule>
  </conditionalFormatting>
  <conditionalFormatting sqref="I21">
    <cfRule type="expression" priority="3" dxfId="0">
      <formula>AND($I21&lt;&gt;"",ABS($I21)&gt;0.05)</formula>
    </cfRule>
    <cfRule type="expression" priority="4" dxfId="1">
      <formula>AND($I21&lt;&gt;"",ABS($I21)&lt;=0.05)</formula>
    </cfRule>
  </conditionalFormatting>
  <pageMargins left="0.4" right="0.4" top="0.5" bottom="0.5" header="0.5" footer="0.5"/>
  <pageSetup orientation="landscape" paperSize="9" fitToHeight="0" fitToWidth="1"/>
  <headerFooter>
    <oddHeader/>
    <oddFooter>&amp;LFBH überschlägige Auslegung&amp;CSeite &amp;P von &amp;N&amp;RStand &amp;D</oddFooter>
    <evenHeader/>
    <evenFooter/>
    <firstHeader/>
    <firstFooter/>
  </headerFooter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31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60" customWidth="1" min="2" max="2"/>
    <col width="3" customWidth="1" min="3" max="3"/>
    <col width="60" customWidth="1" min="4" max="4"/>
  </cols>
  <sheetData>
    <row r="1" ht="34" customHeight="1">
      <c r="A1" s="16" t="inlineStr">
        <is>
          <t>Anleitung / Bedienung</t>
        </is>
      </c>
      <c r="B1" s="2" t="n"/>
      <c r="C1" s="2" t="n"/>
      <c r="D1" s="2" t="n"/>
    </row>
    <row r="2">
      <c r="A2" s="2" t="n"/>
      <c r="B2" s="2" t="n"/>
      <c r="C2" s="2" t="n"/>
      <c r="D2" s="2" t="n"/>
    </row>
    <row r="3">
      <c r="A3" s="2" t="n"/>
      <c r="B3" s="98" t="inlineStr">
        <is>
          <t>Aufbau der Mappe</t>
        </is>
      </c>
      <c r="C3" s="2" t="n"/>
      <c r="D3" s="98" t="inlineStr">
        <is>
          <t>Schritt für Schritt</t>
        </is>
      </c>
    </row>
    <row r="4">
      <c r="A4" s="2" t="n"/>
      <c r="B4" s="99" t="inlineStr">
        <is>
          <t>• Deckblatt – Übersicht (Input / Verarbeitung / Output)</t>
        </is>
      </c>
      <c r="C4" s="2" t="n"/>
      <c r="D4" s="99" t="inlineStr">
        <is>
          <t>1. Grundeinstellungen ausfüllen: Temperaturen, Rohr-</t>
        </is>
      </c>
    </row>
    <row r="5">
      <c r="A5" s="2" t="n"/>
      <c r="B5" s="99" t="inlineStr">
        <is>
          <t>• Grundeinstellungen – globale Werte</t>
        </is>
      </c>
      <c r="C5" s="2" t="n"/>
      <c r="D5" s="99" t="inlineStr">
        <is>
          <t xml:space="preserve">    system, Stoffwerte, Grenzwerte.</t>
        </is>
      </c>
    </row>
    <row r="6">
      <c r="A6" s="2" t="n"/>
      <c r="B6" s="99" t="inlineStr">
        <is>
          <t>• Auslegung – Raumliste mit allen Berechnungen</t>
        </is>
      </c>
      <c r="C6" s="2" t="n"/>
      <c r="D6" s="99" t="inlineStr">
        <is>
          <t>2. Konstanten prüfen / erweitern (Rohre, R-Werte, Zonen).</t>
        </is>
      </c>
    </row>
    <row r="7">
      <c r="A7" s="2" t="n"/>
      <c r="B7" s="99" t="inlineStr">
        <is>
          <t>• Kontrolle – Summen &amp; Warnungen</t>
        </is>
      </c>
      <c r="C7" s="2" t="n"/>
      <c r="D7" s="99" t="inlineStr">
        <is>
          <t>3. Verifikation: Systemfaktor f kalibrieren – VOR der</t>
        </is>
      </c>
    </row>
    <row r="8">
      <c r="A8" s="2" t="n"/>
      <c r="B8" s="99" t="inlineStr">
        <is>
          <t>• HKV – Auswertung je Heizkreisverteiler</t>
        </is>
      </c>
      <c r="C8" s="2" t="n"/>
      <c r="D8" s="99" t="inlineStr">
        <is>
          <t xml:space="preserve">    Raumauslegung (er wirkt auf alle Räume).</t>
        </is>
      </c>
    </row>
    <row r="9">
      <c r="A9" s="2" t="n"/>
      <c r="B9" s="99" t="inlineStr">
        <is>
          <t>• Verifikation – Abgleich mit Herstellerdaten</t>
        </is>
      </c>
      <c r="C9" s="2" t="n"/>
      <c r="D9" s="99" t="inlineStr">
        <is>
          <t>4. Bauteilliste (Schedule) aus Revit nach Excel exportieren</t>
        </is>
      </c>
    </row>
    <row r="10">
      <c r="A10" s="2" t="n"/>
      <c r="B10" s="99" t="inlineStr">
        <is>
          <t>• Anleitung – diese Seite</t>
        </is>
      </c>
      <c r="C10" s="2" t="n"/>
      <c r="D10" s="99" t="inlineStr">
        <is>
          <t xml:space="preserve">    – Spalten A–F (HKV, Raum-Nr., Bezeichnung, Raum-</t>
        </is>
      </c>
    </row>
    <row r="11">
      <c r="A11" s="2" t="n"/>
      <c r="B11" s="99" t="inlineStr">
        <is>
          <t>• Methodik – Formeln &amp; Annahmen</t>
        </is>
      </c>
      <c r="C11" s="2" t="n"/>
      <c r="D11" s="99" t="inlineStr">
        <is>
          <t xml:space="preserve">    fläche, Raumtemperatur, Heizlast).</t>
        </is>
      </c>
    </row>
    <row r="12">
      <c r="A12" s="2" t="n"/>
      <c r="B12" s="99" t="inlineStr">
        <is>
          <t>• Konstanten – Nachschlagetabellen</t>
        </is>
      </c>
      <c r="C12" s="2" t="n"/>
      <c r="D12" s="99" t="inlineStr">
        <is>
          <t>5. Export in die Auslegung übernehmen (A–F).</t>
        </is>
      </c>
    </row>
    <row r="13">
      <c r="A13" s="2" t="n"/>
      <c r="B13" s="99" t="inlineStr">
        <is>
          <t>• Changelog – Versionen</t>
        </is>
      </c>
      <c r="C13" s="2" t="n"/>
      <c r="D13" s="99" t="inlineStr">
        <is>
          <t>6. Spalte G (spez. Heizlast) frei lassen – wird berechnet.</t>
        </is>
      </c>
    </row>
    <row r="14">
      <c r="A14" s="2" t="n"/>
      <c r="B14" s="99" t="inlineStr"/>
      <c r="C14" s="2" t="n"/>
      <c r="D14" s="99" t="inlineStr">
        <is>
          <t>7. Spalten H–M je Raum ergänzen (aktiv. Fläche, R-Wert,</t>
        </is>
      </c>
    </row>
    <row r="15">
      <c r="A15" s="2" t="n"/>
      <c r="B15" s="98" t="inlineStr">
        <is>
          <t>Farblegende</t>
        </is>
      </c>
      <c r="C15" s="2" t="n"/>
      <c r="D15" s="99" t="inlineStr">
        <is>
          <t xml:space="preserve">    Verlegeabstand, Kreise, Zuleitung, Zone).</t>
        </is>
      </c>
    </row>
    <row r="16">
      <c r="A16" s="2" t="n"/>
      <c r="B16" s="99" t="inlineStr">
        <is>
          <t>• Blau (gelb hinterlegt) = Eingabe</t>
        </is>
      </c>
      <c r="C16" s="2" t="n"/>
      <c r="D16" s="99" t="inlineStr">
        <is>
          <t>8. Ergebnisse prüfen: Ampel in Auslegung + 'Kontrolle'.</t>
        </is>
      </c>
    </row>
    <row r="17">
      <c r="A17" s="2" t="n"/>
      <c r="B17" s="99" t="inlineStr">
        <is>
          <t>• Schwarz = berechnet (nicht ändern)</t>
        </is>
      </c>
      <c r="C17" s="2" t="n"/>
      <c r="D17" s="99" t="inlineStr"/>
    </row>
    <row r="18">
      <c r="A18" s="2" t="n"/>
      <c r="B18" s="99" t="inlineStr">
        <is>
          <t>• Grün = OK,  Rot = Warnung / Grenzwert überschritten</t>
        </is>
      </c>
      <c r="C18" s="2" t="n"/>
      <c r="D18" s="98" t="inlineStr">
        <is>
          <t>Spalten der Auslegung</t>
        </is>
      </c>
    </row>
    <row r="19">
      <c r="A19" s="2" t="n"/>
      <c r="B19" s="99" t="inlineStr">
        <is>
          <t>• Nur die blauen Eingabezellen bearbeiten.</t>
        </is>
      </c>
      <c r="C19" s="2" t="n"/>
      <c r="D19" s="99" t="inlineStr">
        <is>
          <t>Aus Revit (A–F): HKV, Raum-Nr., Bezeichnung,</t>
        </is>
      </c>
    </row>
    <row r="20">
      <c r="A20" s="2" t="n"/>
      <c r="B20" s="99" t="inlineStr"/>
      <c r="C20" s="2" t="n"/>
      <c r="D20" s="99" t="inlineStr">
        <is>
          <t xml:space="preserve">   Raumfläche, Raumtemperatur, Heizlast.</t>
        </is>
      </c>
    </row>
    <row r="21">
      <c r="A21" s="2" t="n"/>
      <c r="B21" s="98" t="inlineStr">
        <is>
          <t>Ampel-Legende (warum ist eine Zelle rot?)</t>
        </is>
      </c>
      <c r="C21" s="2" t="n"/>
      <c r="D21" s="99" t="inlineStr">
        <is>
          <t>Berechnet (G): spez. Heizlast (nicht ändern).</t>
        </is>
      </c>
    </row>
    <row r="22">
      <c r="A22" s="2" t="n"/>
      <c r="B22" s="99" t="inlineStr">
        <is>
          <t>• Deckung &lt; 100 % → Heizlast nicht gedeckt</t>
        </is>
      </c>
      <c r="C22" s="2" t="n"/>
      <c r="D22" s="99" t="inlineStr">
        <is>
          <t>Im Tool (H–M): aktiv. Fläche, R-Wert, Verlege-</t>
        </is>
      </c>
    </row>
    <row r="23">
      <c r="A23" s="2" t="n"/>
      <c r="B23" s="99" t="inlineStr">
        <is>
          <t>• Oberflächentemperatur &gt; Zonen-Grenztemperatur</t>
        </is>
      </c>
      <c r="C23" s="2" t="n"/>
      <c r="D23" s="99" t="inlineStr">
        <is>
          <t xml:space="preserve">   abstand, Kreise, Zuleitung, Zone.</t>
        </is>
      </c>
    </row>
    <row r="24">
      <c r="A24" s="2" t="n"/>
      <c r="B24" s="99" t="inlineStr">
        <is>
          <t>• Rohrlänge je Kreis &gt; max. Kreislänge</t>
        </is>
      </c>
      <c r="C24" s="2" t="n"/>
      <c r="D24" s="99" t="inlineStr"/>
    </row>
    <row r="25">
      <c r="A25" s="2" t="n"/>
      <c r="B25" s="99" t="inlineStr">
        <is>
          <t>• Druckverlust je Kreis &gt; Warnschwelle</t>
        </is>
      </c>
      <c r="C25" s="2" t="n"/>
      <c r="D25" s="98" t="inlineStr">
        <is>
          <t>Mehrere Verteiler / Geschosse auslegen</t>
        </is>
      </c>
    </row>
    <row r="26">
      <c r="A26" s="2" t="n"/>
      <c r="B26" s="99" t="inlineStr">
        <is>
          <t>• Geschwindigkeit außerhalb der Grenzen</t>
        </is>
      </c>
      <c r="C26" s="2" t="n"/>
      <c r="D26" s="99" t="inlineStr">
        <is>
          <t>• Verteiler je Raum in Spalte A (HKV) eintragen</t>
        </is>
      </c>
    </row>
    <row r="27">
      <c r="A27" s="2" t="n"/>
      <c r="B27" s="99" t="inlineStr">
        <is>
          <t>• Volumenstrom je Kreis &gt; Grenzwert</t>
        </is>
      </c>
      <c r="C27" s="2" t="n"/>
      <c r="D27" s="99" t="inlineStr">
        <is>
          <t xml:space="preserve">   (z. B. HKV EG, HKV OG, HKV 1.OG …).</t>
        </is>
      </c>
    </row>
    <row r="28">
      <c r="A28" s="2" t="n"/>
      <c r="B28" s="99" t="inlineStr">
        <is>
          <t>• aktivierbare Fläche &gt; Raumfläche</t>
        </is>
      </c>
      <c r="C28" s="2" t="n"/>
      <c r="D28" s="99" t="inlineStr">
        <is>
          <t>• Das Blatt 'HKV' wertet jeden Verteiler automatisch</t>
        </is>
      </c>
    </row>
    <row r="29">
      <c r="A29" s="2" t="n"/>
      <c r="B29" s="100" t="inlineStr">
        <is>
          <t>Grenzwerte stehen in den Grundeinstellungen,</t>
        </is>
      </c>
      <c r="C29" s="2" t="n"/>
      <c r="D29" s="99" t="inlineStr">
        <is>
          <t xml:space="preserve">   aus (Kreise, Leistung, Volumenstrom, max. Δp).</t>
        </is>
      </c>
    </row>
    <row r="30">
      <c r="A30" s="2" t="n"/>
      <c r="B30" s="100" t="inlineStr">
        <is>
          <t>Zonen-Grenztemperaturen in den Konstanten.</t>
        </is>
      </c>
      <c r="C30" s="2" t="n"/>
      <c r="D30" s="99" t="inlineStr">
        <is>
          <t>• Beliebig viele Verteiler in EINER Liste – einfach</t>
        </is>
      </c>
    </row>
    <row r="31">
      <c r="A31" s="2" t="n"/>
      <c r="B31" s="2" t="n"/>
      <c r="C31" s="2" t="n"/>
      <c r="D31" s="99" t="inlineStr">
        <is>
          <t xml:space="preserve">   weitere Räume ergänzen.</t>
        </is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/>
  <pageMargins left="0.4" right="0.4" top="0.5" bottom="0.5" header="0.5" footer="0.5"/>
  <pageSetup orientation="landscape" paperSize="9" fitToHeight="0" fitToWidth="1"/>
  <headerFooter>
    <oddHeader/>
    <oddFooter>&amp;LFBH überschlägige Auslegung&amp;CSeite &amp;P von &amp;N&amp;RStand &amp;D</oddFooter>
    <evenHeader/>
    <evenFooter/>
    <firstHeader/>
    <firstFooter/>
  </headerFooter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F25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46" customWidth="1" min="2" max="2"/>
    <col width="3" customWidth="1" min="3" max="3"/>
    <col width="48" customWidth="1" min="4" max="4"/>
    <col width="3" customWidth="1" min="5" max="5"/>
    <col width="48" customWidth="1" min="6" max="6"/>
  </cols>
  <sheetData>
    <row r="1" ht="34" customHeight="1">
      <c r="A1" s="16" t="inlineStr">
        <is>
          <t>Methodik &amp; Annahmen</t>
        </is>
      </c>
      <c r="B1" s="2" t="n"/>
      <c r="C1" s="2" t="n"/>
      <c r="D1" s="2" t="n"/>
      <c r="E1" s="2" t="n"/>
      <c r="F1" s="2" t="n"/>
    </row>
    <row r="2">
      <c r="A2" s="2" t="n"/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2" t="n"/>
      <c r="B4" s="97" t="inlineStr">
        <is>
          <t>Formelzeichen / Variablen</t>
        </is>
      </c>
      <c r="C4" s="2" t="n"/>
      <c r="D4" s="97" t="inlineStr">
        <is>
          <t>Berechnungsschritte</t>
        </is>
      </c>
    </row>
    <row r="5">
      <c r="A5" s="2" t="n"/>
      <c r="B5" s="101" t="inlineStr">
        <is>
          <t>θV, θR — Vor-/Rücklauftemperatur [°C]</t>
        </is>
      </c>
      <c r="C5" s="2" t="n"/>
      <c r="D5" s="2" t="n"/>
      <c r="E5" s="2" t="n"/>
      <c r="F5" s="2" t="n"/>
    </row>
    <row r="6">
      <c r="A6" s="2" t="n"/>
      <c r="B6" s="101" t="inlineStr">
        <is>
          <t>θi — Raumtemperatur [°C]</t>
        </is>
      </c>
      <c r="C6" s="2" t="n"/>
      <c r="D6" s="102" t="inlineStr">
        <is>
          <t>1)  ΔθH = (θV−θR) / ln((θV−θi)/(θR−θi))</t>
        </is>
      </c>
      <c r="E6" s="2" t="n"/>
      <c r="F6" s="102" t="inlineStr">
        <is>
          <t>6)  q_u = ((θV+θR)/2 − θ_u)/R_u ; Verlust = q_u · Fläche</t>
        </is>
      </c>
    </row>
    <row r="7">
      <c r="A7" s="2" t="n"/>
      <c r="B7" s="101" t="inlineStr">
        <is>
          <r>
            <t>θ</t>
          </r>
          <r>
            <rPr>
              <rFont val="Arial"/>
              <color rgb="00000000"/>
              <sz val="10"/>
              <vertAlign val="subscript"/>
            </rPr>
            <t>u</t>
          </r>
          <r>
            <t xml:space="preserve"> — Temperatur unter der Decke [°C]</t>
          </r>
        </is>
      </c>
      <c r="C7" s="2" t="n"/>
      <c r="D7" s="103" t="inlineStr">
        <is>
          <t>Mittlere treibende Temperaturdifferenz Heizwasser ↔ Raum (log. Mittel).</t>
        </is>
      </c>
      <c r="E7" s="2" t="n"/>
      <c r="F7" s="103" t="inlineStr">
        <is>
          <t>Wärmeabgabe nach unten durch die Dämmung.</t>
        </is>
      </c>
    </row>
    <row r="8">
      <c r="A8" s="2" t="n"/>
      <c r="B8" s="101" t="inlineStr">
        <is>
          <t>ΔθH — log. Übertemperatur [K]</t>
        </is>
      </c>
      <c r="C8" s="2" t="n"/>
      <c r="D8" s="101" t="inlineStr"/>
      <c r="E8" s="2" t="n"/>
      <c r="F8" s="101" t="inlineStr"/>
    </row>
    <row r="9">
      <c r="A9" s="2" t="n"/>
      <c r="B9" s="101" t="inlineStr">
        <is>
          <t>q — spez. Heizleistung nach oben [W/m²]</t>
        </is>
      </c>
      <c r="C9" s="2" t="n"/>
      <c r="D9" s="102" t="inlineStr">
        <is>
          <t>2)  m_T = 1 − Abstand/0,075 ; m_ü = 100·(0,045 − s_ü) ; m_D = 250·(D − 0,020)</t>
        </is>
      </c>
      <c r="E9" s="2" t="n"/>
      <c r="F9" s="102" t="inlineStr">
        <is>
          <t>7)  maßgebl. Leistung = MIN(Leistung ; Heizlast) + Verlust</t>
        </is>
      </c>
    </row>
    <row r="10">
      <c r="A10" s="2" t="n"/>
      <c r="B10" s="101" t="inlineStr">
        <is>
          <t>α — Wärmeübergang Oberfläche [W/m²K]</t>
        </is>
      </c>
      <c r="C10" s="2" t="n"/>
      <c r="D10" s="103" t="inlineStr">
        <is>
          <t>Exponenten aus Verlegeabstand, Estrichüberdeckung und Rohr-Außendurchmesser.</t>
        </is>
      </c>
      <c r="E10" s="2" t="n"/>
      <c r="F10" s="103" t="inlineStr">
        <is>
          <t>Tatsächlich transportierte Wärme (Basis für Massenstrom).</t>
        </is>
      </c>
    </row>
    <row r="11">
      <c r="A11" s="2" t="n"/>
      <c r="B11" s="101" t="inlineStr">
        <is>
          <r>
            <t>R</t>
          </r>
          <r>
            <rPr>
              <rFont val="Arial"/>
              <color rgb="00000000"/>
              <sz val="10"/>
              <vertAlign val="subscript"/>
            </rPr>
            <t>Belag</t>
          </r>
          <r>
            <t xml:space="preserve"> — Widerstand Bodenbelag [m²K/W]</t>
          </r>
        </is>
      </c>
      <c r="C11" s="2" t="n"/>
      <c r="D11" s="101" t="inlineStr"/>
      <c r="E11" s="2" t="n"/>
      <c r="F11" s="101" t="inlineStr"/>
    </row>
    <row r="12">
      <c r="A12" s="2" t="n"/>
      <c r="B12" s="101" t="inlineStr">
        <is>
          <r>
            <t>s</t>
          </r>
          <r>
            <rPr>
              <rFont val="Arial"/>
              <color rgb="00000000"/>
              <sz val="10"/>
              <vertAlign val="subscript"/>
            </rPr>
            <t>ü</t>
          </r>
          <r>
            <t xml:space="preserve"> — Estrichüberdeckung [m]</t>
          </r>
        </is>
      </c>
      <c r="C12" s="2" t="n"/>
      <c r="D12" s="102" t="inlineStr">
        <is>
          <t>3)  q = B · a_B · a_T^m_T · a_ü^m_ü · a_D^m_D · ΔθH</t>
        </is>
      </c>
      <c r="E12" s="2" t="n"/>
      <c r="F12" s="102" t="inlineStr">
        <is>
          <t>8)  L_Kreis = (Fläche/Verlegeabstand + 2·Zuleitung·Kreise)/Kreise</t>
        </is>
      </c>
    </row>
    <row r="13">
      <c r="A13" s="2" t="n"/>
      <c r="B13" s="101" t="inlineStr">
        <is>
          <r>
            <t>λ</t>
          </r>
          <r>
            <rPr>
              <rFont val="Arial"/>
              <color rgb="00000000"/>
              <sz val="10"/>
              <vertAlign val="subscript"/>
            </rPr>
            <t>E</t>
          </r>
          <r>
            <t xml:space="preserve"> — Wärmeleitfähigkeit Estrich [W/mK]</t>
          </r>
        </is>
      </c>
      <c r="C13" s="2" t="n"/>
      <c r="D13" s="103" t="inlineStr">
        <is>
          <t>EN-1264-Produktverfahren (Bauart A); a_B, a_T je R-Wert aus den Konstanten.</t>
        </is>
      </c>
      <c r="E13" s="2" t="n"/>
      <c r="F13" s="103" t="inlineStr">
        <is>
          <t>Rohrlänge je Kreis; Prüfung gegen max. Kreislänge.</t>
        </is>
      </c>
    </row>
    <row r="14">
      <c r="A14" s="2" t="n"/>
      <c r="B14" s="101" t="inlineStr">
        <is>
          <t>B — Systemkoeffizient (EN 1264) [W/m²K]</t>
        </is>
      </c>
      <c r="C14" s="2" t="n"/>
      <c r="D14" s="101" t="inlineStr"/>
      <c r="E14" s="2" t="n"/>
      <c r="F14" s="101" t="inlineStr"/>
    </row>
    <row r="15">
      <c r="A15" s="2" t="n"/>
      <c r="B15" s="101" t="inlineStr">
        <is>
          <r>
            <t>a</t>
          </r>
          <r>
            <rPr>
              <rFont val="Arial"/>
              <color rgb="00000000"/>
              <sz val="10"/>
              <vertAlign val="subscript"/>
            </rPr>
            <t>B,</t>
          </r>
          <r>
            <t xml:space="preserve"> a</t>
          </r>
          <r>
            <rPr>
              <rFont val="Arial"/>
              <color rgb="00000000"/>
              <sz val="10"/>
              <vertAlign val="subscript"/>
            </rPr>
            <t>T</t>
          </r>
          <r>
            <t xml:space="preserve"> — Bodenbelag-/Teilungsfaktor [-]</t>
          </r>
        </is>
      </c>
      <c r="C15" s="2" t="n"/>
      <c r="D15" s="102" t="inlineStr">
        <is>
          <t>4)  θF = θi + q/α</t>
        </is>
      </c>
      <c r="E15" s="2" t="n"/>
      <c r="F15" s="102" t="inlineStr">
        <is>
          <t>9)  ṁ = (maßgebl. Leistung/Kreise)/(c_p·(θV−θR))</t>
        </is>
      </c>
    </row>
    <row r="16">
      <c r="A16" s="2" t="n"/>
      <c r="B16" s="101" t="inlineStr">
        <is>
          <r>
            <t>a</t>
          </r>
          <r>
            <rPr>
              <rFont val="Arial"/>
              <color rgb="00000000"/>
              <sz val="10"/>
              <vertAlign val="subscript"/>
            </rPr>
            <t>ü,</t>
          </r>
          <r>
            <t xml:space="preserve"> a</t>
          </r>
          <r>
            <rPr>
              <rFont val="Arial"/>
              <color rgb="00000000"/>
              <sz val="10"/>
              <vertAlign val="subscript"/>
            </rPr>
            <t>D</t>
          </r>
          <r>
            <t xml:space="preserve"> — Überdeckungs-/Durchmesserfaktor [-]</t>
          </r>
        </is>
      </c>
      <c r="C16" s="2" t="n"/>
      <c r="D16" s="103" t="inlineStr">
        <is>
          <t>Bodenoberflächentemperatur; Prüfung gegen θF,max.</t>
        </is>
      </c>
      <c r="E16" s="2" t="n"/>
      <c r="F16" s="103" t="inlineStr">
        <is>
          <t>v = V̇/A_i ; Re = v·di/ν ; Re &lt; 2300 = laminar.</t>
        </is>
      </c>
    </row>
    <row r="17">
      <c r="A17" s="2" t="n"/>
      <c r="B17" s="101" t="inlineStr">
        <is>
          <r>
            <t>R</t>
          </r>
          <r>
            <rPr>
              <rFont val="Arial"/>
              <color rgb="00000000"/>
              <sz val="10"/>
              <vertAlign val="subscript"/>
            </rPr>
            <t>u</t>
          </r>
          <r>
            <t xml:space="preserve"> — Widerstand nach unten [m²K/W]</t>
          </r>
        </is>
      </c>
      <c r="C17" s="2" t="n"/>
      <c r="D17" s="101" t="inlineStr"/>
      <c r="E17" s="2" t="n"/>
      <c r="F17" s="101" t="inlineStr"/>
    </row>
    <row r="18">
      <c r="A18" s="2" t="n"/>
      <c r="B18" s="101" t="inlineStr">
        <is>
          <r>
            <t>q</t>
          </r>
          <r>
            <rPr>
              <rFont val="Arial"/>
              <color rgb="00000000"/>
              <sz val="10"/>
              <vertAlign val="subscript"/>
            </rPr>
            <t>u</t>
          </r>
          <r>
            <t xml:space="preserve"> — Wärmestrom nach unten [W/m²]</t>
          </r>
        </is>
      </c>
      <c r="C18" s="2" t="n"/>
      <c r="D18" s="102" t="inlineStr">
        <is>
          <t>5)  Leistung oben = q · Fläche ; Deckung % = Leistung / Heizlast</t>
        </is>
      </c>
      <c r="E18" s="2" t="n"/>
      <c r="F18" s="102" t="inlineStr">
        <is>
          <t>10) Δp = λ·(L/di)·(ρ/2)·v²·(1+Zuschlag) + Verteiler</t>
        </is>
      </c>
    </row>
    <row r="19">
      <c r="A19" s="2" t="n"/>
      <c r="B19" s="101" t="inlineStr">
        <is>
          <t>θF, θF,max — Oberflächentemp. / Grenze [°C]</t>
        </is>
      </c>
      <c r="C19" s="2" t="n"/>
      <c r="D19" s="103" t="inlineStr">
        <is>
          <t>Prüft, ob die FBH die Heizlast deckt (≥ 100 %).</t>
        </is>
      </c>
      <c r="E19" s="2" t="n"/>
      <c r="F19" s="103" t="inlineStr">
        <is>
          <t>Druckverlust je Kreis; Kontrolle gegen Warnschwelle.</t>
        </is>
      </c>
    </row>
    <row r="20">
      <c r="A20" s="2" t="n"/>
      <c r="B20" s="101" t="inlineStr">
        <is>
          <r>
            <t>di, A</t>
          </r>
          <r>
            <rPr>
              <rFont val="Arial"/>
              <color rgb="00000000"/>
              <sz val="10"/>
              <vertAlign val="subscript"/>
            </rPr>
            <t>i</t>
          </r>
          <r>
            <t xml:space="preserve"> — Rohr-Innen-Ø / -Querschnitt</t>
          </r>
        </is>
      </c>
      <c r="C20" s="2" t="n"/>
      <c r="D20" s="2" t="n"/>
      <c r="E20" s="2" t="n"/>
      <c r="F20" s="101" t="inlineStr"/>
    </row>
    <row r="21">
      <c r="A21" s="2" t="n"/>
      <c r="B21" s="101" t="inlineStr">
        <is>
          <r>
            <t>ρ, c</t>
          </r>
          <r>
            <rPr>
              <rFont val="Arial"/>
              <color rgb="00000000"/>
              <sz val="10"/>
              <vertAlign val="subscript"/>
            </rPr>
            <t>p,</t>
          </r>
          <r>
            <t xml:space="preserve"> ν — Dichte / Wärmekap. / Viskosität</t>
          </r>
        </is>
      </c>
      <c r="C21" s="2" t="n"/>
      <c r="D21" s="2" t="n"/>
      <c r="E21" s="2" t="n"/>
      <c r="F21" s="104" t="inlineStr">
        <is>
          <t>Hinweise</t>
        </is>
      </c>
    </row>
    <row r="22">
      <c r="A22" s="2" t="n"/>
      <c r="B22" s="101" t="inlineStr">
        <is>
          <t>ṁ, V̇ — Massen-/Volumenstrom [kg/h]/[l/h]</t>
        </is>
      </c>
      <c r="C22" s="2" t="n"/>
      <c r="D22" s="2" t="n"/>
      <c r="E22" s="2" t="n"/>
      <c r="F22" s="101" t="inlineStr">
        <is>
          <t>• Gilt für Bauart A nach DIN EN 1264 (Heizrohre im Estrich).</t>
        </is>
      </c>
    </row>
    <row r="23">
      <c r="A23" s="2" t="n"/>
      <c r="B23" s="101" t="inlineStr">
        <is>
          <t>v, Re, λ — Geschw. / Reynolds / Reibung</t>
        </is>
      </c>
      <c r="C23" s="2" t="n"/>
      <c r="D23" s="2" t="n"/>
      <c r="E23" s="2" t="n"/>
      <c r="F23" s="101" t="inlineStr">
        <is>
          <t>• Faktoren a_B, a_T, a_ü, a_D und B stehen editierbar im Blatt Konstanten.</t>
        </is>
      </c>
    </row>
    <row r="24">
      <c r="A24" s="2" t="n"/>
      <c r="B24" s="101" t="inlineStr">
        <is>
          <r>
            <t>L</t>
          </r>
          <r>
            <rPr>
              <rFont val="Arial"/>
              <color rgb="00000000"/>
              <sz val="10"/>
              <vertAlign val="subscript"/>
            </rPr>
            <t>Kreis</t>
          </r>
          <r>
            <t xml:space="preserve"> — Rohrlänge je Kreis [m]</t>
          </r>
        </is>
      </c>
      <c r="C24" s="2" t="n"/>
      <c r="D24" s="2" t="n"/>
      <c r="E24" s="2" t="n"/>
      <c r="F24" s="101" t="inlineStr">
        <is>
          <t>• Wärmeabgabe nach unten global; pauschale Δp-Zuschläge (Hydraulik wie Basis-Tool).</t>
        </is>
      </c>
    </row>
    <row r="25">
      <c r="A25" s="2" t="n"/>
      <c r="B25" s="101" t="inlineStr">
        <is>
          <t>Δp — Druckverlust [Pa]</t>
        </is>
      </c>
      <c r="C25" s="2" t="n"/>
      <c r="D25" s="2" t="n"/>
      <c r="E25" s="2" t="n"/>
      <c r="F25" s="2" t="n"/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/>
  <mergeCells count="1">
    <mergeCell ref="D4:F4"/>
  </mergeCells>
  <pageMargins left="0.4" right="0.4" top="0.5" bottom="0.5" header="0.5" footer="0.5"/>
  <pageSetup orientation="landscape" paperSize="9" fitToHeight="0" fitToWidth="1"/>
  <headerFooter>
    <oddHeader/>
    <oddFooter>&amp;LFBH überschlägige Auslegung&amp;CSeite &amp;P von &amp;N&amp;RStand &amp;D</oddFooter>
    <evenHeader/>
    <evenFooter/>
    <firstHeader/>
    <firstFooter/>
  </headerFooter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L28"/>
  <sheetViews>
    <sheetView showGridLines="0"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9" customWidth="1" min="4" max="4"/>
    <col width="9" customWidth="1" min="5" max="5"/>
    <col width="3" customWidth="1" min="6" max="6"/>
    <col width="16" customWidth="1" min="7" max="7"/>
    <col width="8" customWidth="1" min="8" max="8"/>
    <col width="11" customWidth="1" min="9" max="9"/>
    <col width="3" customWidth="1" min="10" max="10"/>
    <col width="24" customWidth="1" min="11" max="11"/>
    <col width="11" customWidth="1" min="12" max="12"/>
  </cols>
  <sheetData>
    <row r="1" ht="34" customHeight="1">
      <c r="A1" s="16" t="inlineStr">
        <is>
          <t>Konstanten / Bibliotheken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</row>
    <row r="3">
      <c r="A3" s="28" t="inlineStr">
        <is>
          <t>Nachschlage-Tabellen (editierbar). Tabellen durch weiße Zellen getrennt.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</row>
    <row r="4">
      <c r="A4" s="17" t="inlineStr">
        <is>
          <t>EN-1264-Faktoren (Bauart A)</t>
        </is>
      </c>
      <c r="D4" s="2" t="n"/>
      <c r="E4" s="2" t="n"/>
      <c r="F4" s="2" t="n"/>
      <c r="G4" s="17" t="inlineStr">
        <is>
          <t>Zonen / max. Oberflächentemp.</t>
        </is>
      </c>
      <c r="J4" s="2" t="n"/>
      <c r="K4" s="17" t="inlineStr">
        <is>
          <t>R-Werte Bodenbeläge</t>
        </is>
      </c>
    </row>
    <row r="5">
      <c r="A5" s="105" t="inlineStr">
        <is>
          <t>R-Wert [m²K/W]</t>
        </is>
      </c>
      <c r="B5" s="105" t="inlineStr">
        <is>
          <t>a_B [-]</t>
        </is>
      </c>
      <c r="C5" s="105" t="inlineStr">
        <is>
          <t>a_T [-]</t>
        </is>
      </c>
      <c r="D5" s="2" t="n"/>
      <c r="E5" s="2" t="n"/>
      <c r="F5" s="2" t="n"/>
      <c r="G5" s="105" t="inlineStr">
        <is>
          <t>Zone</t>
        </is>
      </c>
      <c r="H5" s="105" t="inlineStr">
        <is>
          <t>Kürzel</t>
        </is>
      </c>
      <c r="I5" s="105" t="inlineStr">
        <is>
          <t>θF,max [°C]</t>
        </is>
      </c>
      <c r="J5" s="2" t="n"/>
      <c r="K5" s="105" t="inlineStr">
        <is>
          <t>Bodenbelag</t>
        </is>
      </c>
      <c r="L5" s="105" t="inlineStr">
        <is>
          <t>R [m²·K/W]</t>
        </is>
      </c>
    </row>
    <row r="6">
      <c r="A6" s="56" t="n">
        <v>0</v>
      </c>
      <c r="B6" s="106" t="n">
        <v>1.0846</v>
      </c>
      <c r="C6" s="106" t="n">
        <v>1.2393</v>
      </c>
      <c r="D6" s="2" t="n"/>
      <c r="E6" s="2" t="n"/>
      <c r="F6" s="2" t="n"/>
      <c r="G6" s="51" t="inlineStr">
        <is>
          <t>Aufenthaltszone</t>
        </is>
      </c>
      <c r="H6" s="51" t="inlineStr">
        <is>
          <t>AZ</t>
        </is>
      </c>
      <c r="I6" s="107" t="n">
        <v>29</v>
      </c>
      <c r="J6" s="2" t="n"/>
      <c r="K6" s="51" t="inlineStr">
        <is>
          <t>ohne Belag (roh)</t>
        </is>
      </c>
      <c r="L6" s="56" t="n">
        <v>0</v>
      </c>
    </row>
    <row r="7">
      <c r="A7" s="56" t="n">
        <v>0.05</v>
      </c>
      <c r="B7" s="106" t="n">
        <v>0.788</v>
      </c>
      <c r="C7" s="106" t="n">
        <v>1.1957</v>
      </c>
      <c r="D7" s="2" t="n"/>
      <c r="E7" s="2" t="n"/>
      <c r="F7" s="2" t="n"/>
      <c r="G7" s="51" t="inlineStr">
        <is>
          <t>Randzone</t>
        </is>
      </c>
      <c r="H7" s="51" t="inlineStr">
        <is>
          <t>RZ</t>
        </is>
      </c>
      <c r="I7" s="107" t="n">
        <v>35</v>
      </c>
      <c r="J7" s="2" t="n"/>
      <c r="K7" s="51" t="inlineStr">
        <is>
          <t>Keramik / Feinsteinzeug</t>
        </is>
      </c>
      <c r="L7" s="56" t="n">
        <v>0.01</v>
      </c>
    </row>
    <row r="8">
      <c r="A8" s="56" t="n">
        <v>0.1</v>
      </c>
      <c r="B8" s="106" t="n">
        <v>0.6143</v>
      </c>
      <c r="C8" s="106" t="n">
        <v>1.1646</v>
      </c>
      <c r="D8" s="2" t="n"/>
      <c r="E8" s="2" t="n"/>
      <c r="F8" s="2" t="n"/>
      <c r="G8" s="51" t="inlineStr">
        <is>
          <t>Badezimmer</t>
        </is>
      </c>
      <c r="H8" s="51" t="inlineStr">
        <is>
          <t>BAD</t>
        </is>
      </c>
      <c r="I8" s="107" t="n">
        <v>33</v>
      </c>
      <c r="J8" s="2" t="n"/>
      <c r="K8" s="51" t="inlineStr">
        <is>
          <t>Fliesen 8 mm</t>
        </is>
      </c>
      <c r="L8" s="56" t="n">
        <v>0.012</v>
      </c>
    </row>
    <row r="9">
      <c r="A9" s="56" t="n">
        <v>0.15</v>
      </c>
      <c r="B9" s="106" t="n">
        <v>0.5067</v>
      </c>
      <c r="C9" s="106" t="n">
        <v>1.1403</v>
      </c>
      <c r="D9" s="2" t="n"/>
      <c r="E9" s="2" t="n"/>
      <c r="F9" s="2" t="n"/>
      <c r="G9" s="51" t="n"/>
      <c r="H9" s="51" t="n"/>
      <c r="I9" s="107" t="n"/>
      <c r="J9" s="2" t="n"/>
      <c r="K9" s="51" t="inlineStr">
        <is>
          <t>Naturstein / Marmor</t>
        </is>
      </c>
      <c r="L9" s="56" t="n">
        <v>0.015</v>
      </c>
    </row>
    <row r="10">
      <c r="A10" s="56" t="n">
        <v>0.2</v>
      </c>
      <c r="B10" s="106" t="n">
        <v>0.4311</v>
      </c>
      <c r="C10" s="106" t="n">
        <v>1.116</v>
      </c>
      <c r="D10" s="2" t="n"/>
      <c r="E10" s="2" t="n"/>
      <c r="F10" s="2" t="n"/>
      <c r="G10" s="51" t="n"/>
      <c r="H10" s="51" t="n"/>
      <c r="I10" s="107" t="n"/>
      <c r="J10" s="2" t="n"/>
      <c r="K10" s="51" t="inlineStr">
        <is>
          <t>PVC / Vinyl (verklebt)</t>
        </is>
      </c>
      <c r="L10" s="56" t="n">
        <v>0.02</v>
      </c>
    </row>
    <row r="11">
      <c r="A11" s="2" t="n"/>
      <c r="B11" s="2" t="n"/>
      <c r="C11" s="2" t="n"/>
      <c r="D11" s="2" t="n"/>
      <c r="E11" s="2" t="n"/>
      <c r="F11" s="2" t="n"/>
      <c r="G11" s="51" t="n"/>
      <c r="H11" s="51" t="n"/>
      <c r="I11" s="107" t="n"/>
      <c r="J11" s="2" t="n"/>
      <c r="K11" s="51" t="inlineStr">
        <is>
          <t>Designboden (Klick)</t>
        </is>
      </c>
      <c r="L11" s="56" t="n">
        <v>0.04</v>
      </c>
    </row>
    <row r="12">
      <c r="A12" s="17" t="inlineStr">
        <is>
          <t>EN-1264-Parameter</t>
        </is>
      </c>
      <c r="D12" s="2" t="n"/>
      <c r="E12" s="2" t="n"/>
      <c r="F12" s="2" t="n"/>
      <c r="G12" s="51" t="n"/>
      <c r="H12" s="51" t="n"/>
      <c r="I12" s="107" t="n"/>
      <c r="J12" s="2" t="n"/>
      <c r="K12" s="51" t="inlineStr">
        <is>
          <t>Linoleum 2,5 mm</t>
        </is>
      </c>
      <c r="L12" s="56" t="n">
        <v>0.05</v>
      </c>
    </row>
    <row r="13">
      <c r="A13" s="25" t="inlineStr">
        <is>
          <t>Systemkoeffizient  B</t>
        </is>
      </c>
      <c r="C13" s="29" t="n">
        <v>6.7</v>
      </c>
      <c r="D13" s="27" t="inlineStr">
        <is>
          <t>W/m²K</t>
        </is>
      </c>
      <c r="E13" s="2" t="n"/>
      <c r="F13" s="2" t="n"/>
      <c r="G13" s="51" t="n"/>
      <c r="H13" s="51" t="n"/>
      <c r="I13" s="107" t="n"/>
      <c r="J13" s="2" t="n"/>
      <c r="K13" s="51" t="inlineStr">
        <is>
          <t>Klick-Vinyl (schwimmend)</t>
        </is>
      </c>
      <c r="L13" s="56" t="n">
        <v>0.055</v>
      </c>
    </row>
    <row r="14">
      <c r="A14" s="25" t="inlineStr">
        <is>
          <r>
            <t>Überdeckungsfaktor  a</t>
          </r>
          <r>
            <rPr>
              <rFont val="Arial"/>
              <color rgb="00000000"/>
              <sz val="10"/>
              <vertAlign val="subscript"/>
            </rPr>
            <t>ü</t>
          </r>
        </is>
      </c>
      <c r="C14" s="30" t="n">
        <v>1.07</v>
      </c>
      <c r="D14" s="27" t="inlineStr">
        <is>
          <t>-</t>
        </is>
      </c>
      <c r="E14" s="2" t="n"/>
      <c r="F14" s="2" t="n"/>
      <c r="G14" s="2" t="n"/>
      <c r="H14" s="2" t="n"/>
      <c r="I14" s="2" t="n"/>
      <c r="J14" s="2" t="n"/>
      <c r="K14" s="51" t="inlineStr">
        <is>
          <t>Laminat + Trittschall</t>
        </is>
      </c>
      <c r="L14" s="56" t="n">
        <v>0.06</v>
      </c>
    </row>
    <row r="15">
      <c r="A15" s="25" t="inlineStr">
        <is>
          <r>
            <t>Rohrdurchmesser-Faktor  a</t>
          </r>
          <r>
            <rPr>
              <rFont val="Arial"/>
              <color rgb="00000000"/>
              <sz val="10"/>
              <vertAlign val="subscript"/>
            </rPr>
            <t>D</t>
          </r>
        </is>
      </c>
      <c r="C15" s="30" t="n">
        <v>1.06</v>
      </c>
      <c r="D15" s="27" t="inlineStr">
        <is>
          <t>-</t>
        </is>
      </c>
      <c r="E15" s="2" t="n"/>
      <c r="F15" s="2" t="n"/>
      <c r="G15" s="2" t="n"/>
      <c r="H15" s="2" t="n"/>
      <c r="I15" s="2" t="n"/>
      <c r="J15" s="2" t="n"/>
      <c r="K15" s="51" t="inlineStr">
        <is>
          <t>Parkett / Fertigparkett</t>
        </is>
      </c>
      <c r="L15" s="56" t="n">
        <v>0.075</v>
      </c>
    </row>
    <row r="16">
      <c r="A16" s="25" t="inlineStr">
        <is>
          <r>
            <t>Überdeckungs-Exponent  m</t>
          </r>
          <r>
            <rPr>
              <rFont val="Arial"/>
              <color rgb="00000000"/>
              <sz val="10"/>
              <vertAlign val="subscript"/>
            </rPr>
            <t>ü</t>
          </r>
        </is>
      </c>
      <c r="C16" s="82">
        <f>100*(0.045-'Grundeinstellungen'!$J$7)</f>
        <v/>
      </c>
      <c r="D16" s="27" t="inlineStr">
        <is>
          <t>-</t>
        </is>
      </c>
      <c r="E16" s="2" t="n"/>
      <c r="F16" s="2" t="n"/>
      <c r="G16" s="2" t="n"/>
      <c r="H16" s="2" t="n"/>
      <c r="I16" s="2" t="n"/>
      <c r="J16" s="2" t="n"/>
      <c r="K16" s="51" t="inlineStr">
        <is>
          <t>Mehrschichtparkett 14 mm</t>
        </is>
      </c>
      <c r="L16" s="56" t="n">
        <v>0.09</v>
      </c>
    </row>
    <row r="17">
      <c r="A17" s="25" t="inlineStr">
        <is>
          <r>
            <t>Durchmesser-Exponent  m</t>
          </r>
          <r>
            <rPr>
              <rFont val="Arial"/>
              <color rgb="00000000"/>
              <sz val="10"/>
              <vertAlign val="subscript"/>
            </rPr>
            <t>D</t>
          </r>
        </is>
      </c>
      <c r="C17" s="82">
        <f>250*('Grundeinstellungen'!$J$17/1000-0.020)</f>
        <v/>
      </c>
      <c r="D17" s="27" t="inlineStr">
        <is>
          <t>-</t>
        </is>
      </c>
      <c r="E17" s="2" t="n"/>
      <c r="F17" s="2" t="n"/>
      <c r="G17" s="2" t="n"/>
      <c r="H17" s="2" t="n"/>
      <c r="I17" s="2" t="n"/>
      <c r="J17" s="2" t="n"/>
      <c r="K17" s="51" t="inlineStr">
        <is>
          <t>Kork</t>
        </is>
      </c>
      <c r="L17" s="56" t="n">
        <v>0.1</v>
      </c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51" t="inlineStr">
        <is>
          <t>Teppich (dünn)</t>
        </is>
      </c>
      <c r="L18" s="56" t="n">
        <v>0.1</v>
      </c>
    </row>
    <row r="19">
      <c r="A19" s="17" t="inlineStr">
        <is>
          <t>Rohrbibliothek (di = da − 2·s)</t>
        </is>
      </c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51" t="inlineStr">
        <is>
          <t>Holzdielen</t>
        </is>
      </c>
      <c r="L19" s="56" t="n">
        <v>0.11</v>
      </c>
    </row>
    <row r="20">
      <c r="A20" s="105" t="inlineStr">
        <is>
          <t>Rohrsystem</t>
        </is>
      </c>
      <c r="B20" s="105" t="inlineStr">
        <is>
          <t>da [mm]</t>
        </is>
      </c>
      <c r="C20" s="105" t="inlineStr">
        <is>
          <t>s [mm]</t>
        </is>
      </c>
      <c r="D20" s="105" t="inlineStr">
        <is>
          <t>di [mm]</t>
        </is>
      </c>
      <c r="E20" s="105" t="inlineStr">
        <is>
          <t>k [mm]</t>
        </is>
      </c>
      <c r="F20" s="2" t="n"/>
      <c r="G20" s="2" t="n"/>
      <c r="H20" s="2" t="n"/>
      <c r="I20" s="2" t="n"/>
      <c r="J20" s="2" t="n"/>
      <c r="K20" s="51" t="inlineStr">
        <is>
          <t>Massivholzdielen 20 mm</t>
        </is>
      </c>
      <c r="L20" s="56" t="n">
        <v>0.13</v>
      </c>
    </row>
    <row r="21">
      <c r="A21" s="51" t="inlineStr">
        <is>
          <t>PE-Xa 17x2</t>
        </is>
      </c>
      <c r="B21" s="108" t="n">
        <v>17</v>
      </c>
      <c r="C21" s="108" t="n">
        <v>2</v>
      </c>
      <c r="D21" s="109">
        <f>IF(B21="","",B21-2*C21)</f>
        <v/>
      </c>
      <c r="E21" s="56" t="n">
        <v>0.007</v>
      </c>
      <c r="F21" s="2" t="n"/>
      <c r="G21" s="2" t="n"/>
      <c r="H21" s="2" t="n"/>
      <c r="I21" s="2" t="n"/>
      <c r="J21" s="2" t="n"/>
      <c r="K21" s="51" t="inlineStr">
        <is>
          <t>Teppich (mittel)</t>
        </is>
      </c>
      <c r="L21" s="56" t="n">
        <v>0.14</v>
      </c>
    </row>
    <row r="22">
      <c r="A22" s="51" t="inlineStr">
        <is>
          <t>PE-Xa 16x2</t>
        </is>
      </c>
      <c r="B22" s="108" t="n">
        <v>16</v>
      </c>
      <c r="C22" s="108" t="n">
        <v>2</v>
      </c>
      <c r="D22" s="109">
        <f>IF(B22="","",B22-2*C22)</f>
        <v/>
      </c>
      <c r="E22" s="56" t="n">
        <v>0.007</v>
      </c>
      <c r="F22" s="2" t="n"/>
      <c r="G22" s="2" t="n"/>
      <c r="H22" s="2" t="n"/>
      <c r="I22" s="2" t="n"/>
      <c r="J22" s="2" t="n"/>
      <c r="K22" s="51" t="inlineStr">
        <is>
          <t>Teppich (dick)</t>
        </is>
      </c>
      <c r="L22" s="56" t="n">
        <v>0.17</v>
      </c>
    </row>
    <row r="23">
      <c r="A23" s="51" t="inlineStr">
        <is>
          <t>PE-Xa 20x2</t>
        </is>
      </c>
      <c r="B23" s="108" t="n">
        <v>20</v>
      </c>
      <c r="C23" s="108" t="n">
        <v>2</v>
      </c>
      <c r="D23" s="109">
        <f>IF(B23="","",B23-2*C23)</f>
        <v/>
      </c>
      <c r="E23" s="56" t="n">
        <v>0.007</v>
      </c>
      <c r="F23" s="2" t="n"/>
      <c r="G23" s="2" t="n"/>
      <c r="H23" s="2" t="n"/>
      <c r="I23" s="2" t="n"/>
      <c r="J23" s="2" t="n"/>
      <c r="K23" s="51" t="n"/>
      <c r="L23" s="56" t="n"/>
    </row>
    <row r="24">
      <c r="A24" s="51" t="inlineStr">
        <is>
          <t>PE-RT 14x2</t>
        </is>
      </c>
      <c r="B24" s="108" t="n">
        <v>14</v>
      </c>
      <c r="C24" s="108" t="n">
        <v>2</v>
      </c>
      <c r="D24" s="109">
        <f>IF(B24="","",B24-2*C24)</f>
        <v/>
      </c>
      <c r="E24" s="56" t="n">
        <v>0.007</v>
      </c>
      <c r="F24" s="2" t="n"/>
      <c r="G24" s="2" t="n"/>
      <c r="H24" s="2" t="n"/>
      <c r="I24" s="2" t="n"/>
      <c r="J24" s="2" t="n"/>
      <c r="K24" s="51" t="n"/>
      <c r="L24" s="56" t="n"/>
    </row>
    <row r="25">
      <c r="A25" s="51" t="n"/>
      <c r="B25" s="108" t="n"/>
      <c r="C25" s="108" t="n"/>
      <c r="D25" s="109">
        <f>IF(B25="","",B25-2*C25)</f>
        <v/>
      </c>
      <c r="E25" s="56" t="n"/>
      <c r="F25" s="2" t="n"/>
      <c r="G25" s="2" t="n"/>
      <c r="H25" s="2" t="n"/>
      <c r="I25" s="2" t="n"/>
      <c r="J25" s="2" t="n"/>
      <c r="K25" s="51" t="n"/>
      <c r="L25" s="56" t="n"/>
    </row>
    <row r="26">
      <c r="A26" s="51" t="n"/>
      <c r="B26" s="108" t="n"/>
      <c r="C26" s="108" t="n"/>
      <c r="D26" s="109">
        <f>IF(B26="","",B26-2*C26)</f>
        <v/>
      </c>
      <c r="E26" s="56" t="n"/>
      <c r="F26" s="2" t="n"/>
      <c r="G26" s="2" t="n"/>
      <c r="H26" s="2" t="n"/>
      <c r="I26" s="2" t="n"/>
      <c r="J26" s="2" t="n"/>
      <c r="K26" s="2" t="n"/>
      <c r="L26" s="2" t="n"/>
    </row>
    <row r="27">
      <c r="A27" s="51" t="n"/>
      <c r="B27" s="108" t="n"/>
      <c r="C27" s="108" t="n"/>
      <c r="D27" s="109">
        <f>IF(B27="","",B27-2*C27)</f>
        <v/>
      </c>
      <c r="E27" s="56" t="n"/>
      <c r="F27" s="2" t="n"/>
      <c r="G27" s="2" t="n"/>
      <c r="H27" s="2" t="n"/>
      <c r="I27" s="2" t="n"/>
      <c r="J27" s="2" t="n"/>
      <c r="K27" s="2" t="n"/>
      <c r="L27" s="2" t="n"/>
    </row>
    <row r="28">
      <c r="A28" s="51" t="n"/>
      <c r="B28" s="108" t="n"/>
      <c r="C28" s="108" t="n"/>
      <c r="D28" s="109">
        <f>IF(B28="","",B28-2*C28)</f>
        <v/>
      </c>
      <c r="E28" s="56" t="n"/>
      <c r="F28" s="2" t="n"/>
      <c r="G28" s="2" t="n"/>
      <c r="H28" s="2" t="n"/>
      <c r="I28" s="2" t="n"/>
      <c r="J28" s="2" t="n"/>
      <c r="K28" s="2" t="n"/>
      <c r="L28" s="2" t="n"/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/>
  <mergeCells count="9">
    <mergeCell ref="A16:B16"/>
    <mergeCell ref="A15:B15"/>
    <mergeCell ref="K4:L4"/>
    <mergeCell ref="A13:B13"/>
    <mergeCell ref="A14:B14"/>
    <mergeCell ref="G4:I4"/>
    <mergeCell ref="A17:B17"/>
    <mergeCell ref="A12:C12"/>
    <mergeCell ref="A4:C4"/>
  </mergeCells>
  <pageMargins left="0.4" right="0.4" top="0.5" bottom="0.5" header="0.5" footer="0.5"/>
  <pageSetup orientation="landscape" paperSize="9" fitToHeight="1" fitToWidth="1"/>
  <headerFooter>
    <oddHeader/>
    <oddFooter>&amp;LFBH überschlägige Auslegung&amp;CSeite &amp;P von &amp;N&amp;RStand &amp;D</oddFooter>
    <evenHeader/>
    <evenFooter/>
    <firstHeader/>
    <firstFooter/>
  </headerFooter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C21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15" customWidth="1" min="3" max="3"/>
  </cols>
  <sheetData>
    <row r="1" ht="34" customHeight="1">
      <c r="A1" s="16" t="inlineStr">
        <is>
          <t>Changelog – FBH-Auslegung</t>
        </is>
      </c>
      <c r="B1" s="2" t="n"/>
      <c r="C1" s="2" t="n"/>
    </row>
    <row r="2">
      <c r="A2" s="2" t="n"/>
      <c r="B2" s="2" t="n"/>
      <c r="C2" s="2" t="n"/>
    </row>
    <row r="3">
      <c r="A3" s="2" t="n"/>
      <c r="B3" s="2" t="n"/>
      <c r="C3" s="21" t="inlineStr">
        <is>
          <t>Version 0.4 · dh</t>
        </is>
      </c>
    </row>
    <row r="4">
      <c r="A4" s="2" t="n"/>
      <c r="B4" s="2" t="n"/>
      <c r="C4" s="2" t="n"/>
    </row>
    <row r="5">
      <c r="A5" s="110" t="inlineStr">
        <is>
          <t>Version</t>
        </is>
      </c>
      <c r="B5" s="110" t="inlineStr">
        <is>
          <t>Datum</t>
        </is>
      </c>
      <c r="C5" s="110" t="inlineStr">
        <is>
          <t>Änderungen</t>
        </is>
      </c>
    </row>
    <row r="6">
      <c r="A6" s="111" t="inlineStr">
        <is>
          <t>0.4</t>
        </is>
      </c>
      <c r="B6" s="112" t="inlineStr">
        <is>
          <t>2026-06-17</t>
        </is>
      </c>
      <c r="C6" s="113" t="inlineStr">
        <is>
          <t>• Graustufen-Design auf ALLE Blätter übertragen: dunkelblaue Flächen/Schrift → Grau bzw. Schwarz, gelbe Eingabefelder → helles Grau.</t>
        </is>
      </c>
    </row>
    <row r="7">
      <c r="A7" s="114" t="n"/>
      <c r="B7" s="114" t="n"/>
      <c r="C7" s="113" t="inlineStr">
        <is>
          <t>• Auslegung: Status-Spalte (✓/!) wieder entfernt; Bewertung jetzt über die Schriftfarbe – leicht grün = im Rahmen, leicht rot = Grenzwert überschritten (auch in Kontrolle und Verifikation).</t>
        </is>
      </c>
    </row>
    <row r="8">
      <c r="A8" s="115" t="n"/>
      <c r="B8" s="115" t="n"/>
      <c r="C8" s="113" t="inlineStr">
        <is>
          <t>• Tabellenkopf einheitlich in kräftigerem Grau; editierbare Zellen in hellerem Grau.</t>
        </is>
      </c>
    </row>
    <row r="9">
      <c r="A9" s="111" t="inlineStr">
        <is>
          <t>0.3</t>
        </is>
      </c>
      <c r="B9" s="112" t="inlineStr">
        <is>
          <t>2026-06-17</t>
        </is>
      </c>
      <c r="C9" s="113" t="inlineStr">
        <is>
          <t>• Diese EN-1264-Mappe ist jetzt die Hauptvariante; die vereinfachte Mappe wurde nach 'archiv/' verschoben.</t>
        </is>
      </c>
    </row>
    <row r="10">
      <c r="A10" s="114" t="n"/>
      <c r="B10" s="114" t="n"/>
      <c r="C10" s="113" t="inlineStr">
        <is>
          <t>• Auslegung im Graustufen-Design: Schrift durchgehend schwarz (auch Einheiten), Eingabe-/editierbare Zellen grau hinterlegt; Farbe nur noch im Logo.</t>
        </is>
      </c>
    </row>
    <row r="11">
      <c r="A11" s="114" t="n"/>
      <c r="B11" s="114" t="n"/>
      <c r="C11" s="113" t="inlineStr">
        <is>
          <t>• Bewertung als Symbol statt Farbe: neue Spalte 'Status' mit ✓ (alle Prüfungen ok) bzw. ! (Warnung) – auch im Schwarz-Weiß-Druck erkennbar; rote/grüne Zellhintergründe entfallen.</t>
        </is>
      </c>
    </row>
    <row r="12">
      <c r="A12" s="115" t="n"/>
      <c r="B12" s="115" t="n"/>
      <c r="C12" s="113" t="inlineStr">
        <is>
          <t>• Zebra-Streifen (jede zweite sichtbare Zeile) über bedingte Formatierung mit SUBTOTAL (filterfest); neue Filterfunktion (AutoFilter), Filtern trotz Blattschutz möglich.</t>
        </is>
      </c>
    </row>
    <row r="13">
      <c r="A13" s="111" t="inlineStr">
        <is>
          <t>0.2</t>
        </is>
      </c>
      <c r="B13" s="112" t="inlineStr">
        <is>
          <t>2026-06-16</t>
        </is>
      </c>
      <c r="C13" s="113" t="inlineStr">
        <is>
          <t>• EN-1264-Parameter (B, a_ü, a_D, m_ü, m_D) von den Grundeinstellungen ins Blatt 'Konstanten' verschoben – alle EN-1264-Faktoren stehen jetzt zusammen.</t>
        </is>
      </c>
    </row>
    <row r="14">
      <c r="A14" s="114" t="n"/>
      <c r="B14" s="114" t="n"/>
      <c r="C14" s="113" t="inlineStr">
        <is>
          <t>• Konstanten neu geordnet: jede Tabelle durch weiße Leerzellen/-spalten optisch getrennt; passt auf eine A4-Quer-Seite.</t>
        </is>
      </c>
    </row>
    <row r="15">
      <c r="A15" s="115" t="n"/>
      <c r="B15" s="115" t="n"/>
      <c r="C15" s="113" t="inlineStr">
        <is>
          <t>• Verifikation/Hinweise sprachlich bereinigt (kein Verweis mehr auf einen Systemfaktor; Faktor-Werte können durch die Norm-Werte ersetzt werden).</t>
        </is>
      </c>
    </row>
    <row r="16">
      <c r="A16" s="111" t="inlineStr">
        <is>
          <t>0.1</t>
        </is>
      </c>
      <c r="B16" s="112" t="inlineStr">
        <is>
          <t>2026-06-16</t>
        </is>
      </c>
      <c r="C16" s="113" t="inlineStr">
        <is>
          <t>• Eigenständige Mappe: vollständige Auslegung nach dem Berechnungsansatz der DIN EN 1264-2 (Bauart A, Heizrohre im Estrich).</t>
        </is>
      </c>
    </row>
    <row r="17">
      <c r="A17" s="114" t="n"/>
      <c r="B17" s="114" t="n"/>
      <c r="C17" s="113" t="inlineStr">
        <is>
          <t>• Wärmestromdichte über das Produktverfahren q = B · a_B · a_T^mT · a_ü^mü · a_D^mD · ΔθH (kein pauschaler Systemfaktor f mehr).</t>
        </is>
      </c>
    </row>
    <row r="18">
      <c r="A18" s="114" t="n"/>
      <c r="B18" s="114" t="n"/>
      <c r="C18" s="113" t="inlineStr">
        <is>
          <t>• Faktoren a_B(R) und a_T(R) als editierbare Tabelle (an die veröffentlichten EN-1264-Leistungstabellen kalibriert: fbh24 max. 1,2 %, Rehau 17×2 −1,7 % gesamt).</t>
        </is>
      </c>
    </row>
    <row r="19">
      <c r="A19" s="114" t="n"/>
      <c r="B19" s="114" t="n"/>
      <c r="C19" s="113" t="inlineStr">
        <is>
          <t>• Exponenten m_T = 1 − Verlegeabstand/0,075, m_ü = 100·(0,045 − s_ü), m_D = 250·(D − 0,020) aus den Geometriedaten; Systemkoeffizient B = 6,7 W/m²K.</t>
        </is>
      </c>
    </row>
    <row r="20">
      <c r="A20" s="114" t="n"/>
      <c r="B20" s="114" t="n"/>
      <c r="C20" s="113" t="inlineStr">
        <is>
          <t>• Hydraulik (Massenstrom, Druckverlust nach Darcy-Weisbach), HKV-Auswertung und Kontrolle wie im vereinfachten Tool.</t>
        </is>
      </c>
    </row>
    <row r="21">
      <c r="A21" s="115" t="n"/>
      <c r="B21" s="115" t="n"/>
      <c r="C21" s="113" t="inlineStr">
        <is>
          <t>• Hinweis: a_B/a_T sind kalibriert, a_ü/a_D EN-1264-orientierte Richtwerte – bei Bedarf gegen die Norm-Tabelle (DIN EN 1264-2, Tab. A.1) prüfen.</t>
        </is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/>
  <mergeCells count="8">
    <mergeCell ref="B9:B12"/>
    <mergeCell ref="A9:A12"/>
    <mergeCell ref="B13:B15"/>
    <mergeCell ref="A16:A21"/>
    <mergeCell ref="B16:B21"/>
    <mergeCell ref="A6:A8"/>
    <mergeCell ref="B6:B8"/>
    <mergeCell ref="A13:A15"/>
  </mergeCells>
  <pageMargins left="0.4" right="0.4" top="0.5" bottom="0.5" header="0.5" footer="0.5"/>
  <pageSetup orientation="landscape" paperSize="9" fitToHeight="0" fitToWidth="1"/>
  <headerFooter>
    <oddHeader/>
    <oddFooter>&amp;LFBH überschlägige Auslegung&amp;CSeite &amp;P von &amp;N&amp;RStand &amp;D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dh</dc:creator>
  <dcterms:created xmlns:dcterms="http://purl.org/dc/terms/" xmlns:xsi="http://www.w3.org/2001/XMLSchema-instance" xsi:type="dcterms:W3CDTF">2026-06-17T21:03:06Z</dcterms:created>
  <dcterms:modified xmlns:dcterms="http://purl.org/dc/terms/" xmlns:xsi="http://www.w3.org/2001/XMLSchema-instance" xsi:type="dcterms:W3CDTF">2026-06-17T21:03:07Z</dcterms:modified>
  <cp:lastModifiedBy>dh</cp:lastModifiedBy>
  <cp:version>0.4</cp:version>
  <cp:keywords>FBH-Auslegung v0.4 (dh)</cp:keywords>
</cp:coreProperties>
</file>